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 Prakash\Desktop\Academic\Field Work\"/>
    </mc:Choice>
  </mc:AlternateContent>
  <xr:revisionPtr revIDLastSave="0" documentId="13_ncr:1_{AD5EB293-B34D-4ADE-B607-24C5701BFBD1}" xr6:coauthVersionLast="47" xr6:coauthVersionMax="47" xr10:uidLastSave="{00000000-0000-0000-0000-000000000000}"/>
  <bookViews>
    <workbookView xWindow="14295" yWindow="0" windowWidth="14610" windowHeight="15585" xr2:uid="{5E702A07-258A-4FC4-9811-A01AC5F3EF55}"/>
  </bookViews>
  <sheets>
    <sheet name="WOR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20" i="3" l="1"/>
  <c r="CH19" i="3"/>
  <c r="CH18" i="3"/>
  <c r="CH17" i="3"/>
  <c r="CH16" i="3"/>
  <c r="CH15" i="3"/>
  <c r="CH14" i="3"/>
  <c r="CH13" i="3"/>
  <c r="CH12" i="3"/>
  <c r="CH11" i="3"/>
  <c r="CH10" i="3"/>
  <c r="CH9" i="3"/>
  <c r="CH8" i="3"/>
  <c r="CH7" i="3"/>
  <c r="CH6" i="3"/>
  <c r="CH5" i="3"/>
  <c r="CH4" i="3"/>
  <c r="CH3" i="3"/>
  <c r="CH2" i="3"/>
  <c r="CG2" i="3"/>
  <c r="D5" i="3" l="1"/>
  <c r="D6" i="3"/>
  <c r="S6" i="3" s="1"/>
  <c r="D7" i="3"/>
  <c r="D8" i="3"/>
  <c r="D9" i="3"/>
  <c r="D10" i="3"/>
  <c r="D11" i="3"/>
  <c r="S11" i="3" s="1"/>
  <c r="D12" i="3"/>
  <c r="S12" i="3" s="1"/>
  <c r="D13" i="3"/>
  <c r="D14" i="3"/>
  <c r="D15" i="3"/>
  <c r="D16" i="3"/>
  <c r="D17" i="3"/>
  <c r="D18" i="3"/>
  <c r="D19" i="3"/>
  <c r="BK19" i="3" s="1"/>
  <c r="D20" i="3"/>
  <c r="S20" i="3" s="1"/>
  <c r="D3" i="3"/>
  <c r="D4" i="3"/>
  <c r="S5" i="3"/>
  <c r="S8" i="3"/>
  <c r="S9" i="3"/>
  <c r="BK10" i="3"/>
  <c r="BK16" i="3"/>
  <c r="S17" i="3"/>
  <c r="S15" i="3"/>
  <c r="D2" i="3"/>
  <c r="CR20" i="3"/>
  <c r="CP20" i="3"/>
  <c r="CN20" i="3"/>
  <c r="CG20" i="3"/>
  <c r="CC20" i="3"/>
  <c r="BT20" i="3"/>
  <c r="BU20" i="3" s="1"/>
  <c r="BS20" i="3"/>
  <c r="BO20" i="3"/>
  <c r="BM20" i="3"/>
  <c r="AD20" i="3"/>
  <c r="CJ20" i="3" s="1"/>
  <c r="AC20" i="3"/>
  <c r="J20" i="3"/>
  <c r="CR19" i="3"/>
  <c r="CP19" i="3"/>
  <c r="CN19" i="3"/>
  <c r="CG19" i="3"/>
  <c r="CC19" i="3"/>
  <c r="BT19" i="3"/>
  <c r="BU19" i="3" s="1"/>
  <c r="BS19" i="3"/>
  <c r="BO19" i="3"/>
  <c r="BM19" i="3"/>
  <c r="AE19" i="3"/>
  <c r="AD19" i="3"/>
  <c r="AC19" i="3"/>
  <c r="J19" i="3"/>
  <c r="CR18" i="3"/>
  <c r="CP18" i="3"/>
  <c r="CN18" i="3"/>
  <c r="CG18" i="3"/>
  <c r="CC18" i="3"/>
  <c r="BT18" i="3"/>
  <c r="BU18" i="3" s="1"/>
  <c r="BS18" i="3"/>
  <c r="BO18" i="3"/>
  <c r="BM18" i="3"/>
  <c r="AD18" i="3"/>
  <c r="CJ18" i="3" s="1"/>
  <c r="AC18" i="3"/>
  <c r="J18" i="3"/>
  <c r="CR17" i="3"/>
  <c r="CP17" i="3"/>
  <c r="CN17" i="3"/>
  <c r="CG17" i="3"/>
  <c r="CC17" i="3"/>
  <c r="BT17" i="3"/>
  <c r="BU17" i="3" s="1"/>
  <c r="BS17" i="3"/>
  <c r="BM17" i="3"/>
  <c r="AD17" i="3"/>
  <c r="CJ17" i="3" s="1"/>
  <c r="AC17" i="3"/>
  <c r="J17" i="3"/>
  <c r="CR16" i="3"/>
  <c r="CP16" i="3"/>
  <c r="CN16" i="3"/>
  <c r="CG16" i="3"/>
  <c r="CC16" i="3"/>
  <c r="BT16" i="3"/>
  <c r="BU16" i="3" s="1"/>
  <c r="BS16" i="3"/>
  <c r="BM16" i="3"/>
  <c r="AD16" i="3"/>
  <c r="CJ16" i="3" s="1"/>
  <c r="AC16" i="3"/>
  <c r="J16" i="3"/>
  <c r="CR15" i="3"/>
  <c r="CP15" i="3"/>
  <c r="CN15" i="3"/>
  <c r="CG15" i="3"/>
  <c r="CC15" i="3"/>
  <c r="BT15" i="3"/>
  <c r="BU15" i="3" s="1"/>
  <c r="BS15" i="3"/>
  <c r="BM15" i="3"/>
  <c r="AD15" i="3"/>
  <c r="CJ15" i="3" s="1"/>
  <c r="AC15" i="3"/>
  <c r="J15" i="3"/>
  <c r="CR14" i="3"/>
  <c r="CP14" i="3"/>
  <c r="CN14" i="3"/>
  <c r="CG14" i="3"/>
  <c r="CC14" i="3"/>
  <c r="BT14" i="3"/>
  <c r="BU14" i="3" s="1"/>
  <c r="BS14" i="3"/>
  <c r="BM14" i="3"/>
  <c r="AD14" i="3"/>
  <c r="CJ14" i="3" s="1"/>
  <c r="AC14" i="3"/>
  <c r="J14" i="3"/>
  <c r="BK14" i="3"/>
  <c r="CR13" i="3"/>
  <c r="CP13" i="3"/>
  <c r="CN13" i="3"/>
  <c r="CG13" i="3"/>
  <c r="CC13" i="3"/>
  <c r="BT13" i="3"/>
  <c r="BU13" i="3" s="1"/>
  <c r="BS13" i="3"/>
  <c r="BM13" i="3"/>
  <c r="AR13" i="3"/>
  <c r="AD13" i="3"/>
  <c r="CJ13" i="3" s="1"/>
  <c r="AC13" i="3"/>
  <c r="J13" i="3"/>
  <c r="CR12" i="3"/>
  <c r="CP12" i="3"/>
  <c r="CN12" i="3"/>
  <c r="CG12" i="3"/>
  <c r="CC12" i="3"/>
  <c r="BT12" i="3"/>
  <c r="BU12" i="3" s="1"/>
  <c r="BS12" i="3"/>
  <c r="BM12" i="3"/>
  <c r="AD12" i="3"/>
  <c r="CJ12" i="3" s="1"/>
  <c r="AC12" i="3"/>
  <c r="J12" i="3"/>
  <c r="CR11" i="3"/>
  <c r="CP11" i="3"/>
  <c r="CN11" i="3"/>
  <c r="CG11" i="3"/>
  <c r="CI11" i="3" s="1"/>
  <c r="CC11" i="3"/>
  <c r="BT11" i="3"/>
  <c r="BU11" i="3" s="1"/>
  <c r="BS11" i="3"/>
  <c r="BM11" i="3"/>
  <c r="AD11" i="3"/>
  <c r="CJ11" i="3" s="1"/>
  <c r="AC11" i="3"/>
  <c r="J11" i="3"/>
  <c r="CR10" i="3"/>
  <c r="CP10" i="3"/>
  <c r="CN10" i="3"/>
  <c r="CG10" i="3"/>
  <c r="CC10" i="3"/>
  <c r="BT10" i="3"/>
  <c r="BU10" i="3" s="1"/>
  <c r="BS10" i="3"/>
  <c r="BM10" i="3"/>
  <c r="AD10" i="3"/>
  <c r="CJ10" i="3" s="1"/>
  <c r="AC10" i="3"/>
  <c r="J10" i="3"/>
  <c r="CR9" i="3"/>
  <c r="CP9" i="3"/>
  <c r="CN9" i="3"/>
  <c r="CG9" i="3"/>
  <c r="CC9" i="3"/>
  <c r="BT9" i="3"/>
  <c r="BU9" i="3" s="1"/>
  <c r="BS9" i="3"/>
  <c r="BM9" i="3"/>
  <c r="AD9" i="3"/>
  <c r="CJ9" i="3" s="1"/>
  <c r="AC9" i="3"/>
  <c r="J9" i="3"/>
  <c r="CR8" i="3"/>
  <c r="CP8" i="3"/>
  <c r="CN8" i="3"/>
  <c r="CG8" i="3"/>
  <c r="CI8" i="3" s="1"/>
  <c r="CC8" i="3"/>
  <c r="BT8" i="3"/>
  <c r="BU8" i="3" s="1"/>
  <c r="BS8" i="3"/>
  <c r="BM8" i="3"/>
  <c r="AD8" i="3"/>
  <c r="CJ8" i="3" s="1"/>
  <c r="AC8" i="3"/>
  <c r="J8" i="3"/>
  <c r="CR7" i="3"/>
  <c r="CP7" i="3"/>
  <c r="CN7" i="3"/>
  <c r="CG7" i="3"/>
  <c r="CC7" i="3"/>
  <c r="BT7" i="3"/>
  <c r="BU7" i="3" s="1"/>
  <c r="BS7" i="3"/>
  <c r="BM7" i="3"/>
  <c r="AD7" i="3"/>
  <c r="CJ7" i="3" s="1"/>
  <c r="AC7" i="3"/>
  <c r="J7" i="3"/>
  <c r="S7" i="3"/>
  <c r="CR6" i="3"/>
  <c r="CP6" i="3"/>
  <c r="CN6" i="3"/>
  <c r="CG6" i="3"/>
  <c r="CC6" i="3"/>
  <c r="BT6" i="3"/>
  <c r="BU6" i="3" s="1"/>
  <c r="BS6" i="3"/>
  <c r="BM6" i="3"/>
  <c r="AD6" i="3"/>
  <c r="CJ6" i="3" s="1"/>
  <c r="AC6" i="3"/>
  <c r="J6" i="3"/>
  <c r="CR5" i="3"/>
  <c r="CP5" i="3"/>
  <c r="CN5" i="3"/>
  <c r="CG5" i="3"/>
  <c r="CI5" i="3" s="1"/>
  <c r="CC5" i="3"/>
  <c r="BT5" i="3"/>
  <c r="BU5" i="3" s="1"/>
  <c r="BS5" i="3"/>
  <c r="BM5" i="3"/>
  <c r="AD5" i="3"/>
  <c r="CJ5" i="3" s="1"/>
  <c r="AC5" i="3"/>
  <c r="J5" i="3"/>
  <c r="CR4" i="3"/>
  <c r="CP4" i="3"/>
  <c r="CN4" i="3"/>
  <c r="CG4" i="3"/>
  <c r="CC4" i="3"/>
  <c r="BT4" i="3"/>
  <c r="BU4" i="3" s="1"/>
  <c r="BS4" i="3"/>
  <c r="BM4" i="3"/>
  <c r="AD4" i="3"/>
  <c r="CJ4" i="3" s="1"/>
  <c r="AC4" i="3"/>
  <c r="J4" i="3"/>
  <c r="S4" i="3"/>
  <c r="CR3" i="3"/>
  <c r="CP3" i="3"/>
  <c r="CN3" i="3"/>
  <c r="CG3" i="3"/>
  <c r="CC3" i="3"/>
  <c r="BT3" i="3"/>
  <c r="BU3" i="3" s="1"/>
  <c r="BS3" i="3"/>
  <c r="BM3" i="3"/>
  <c r="AD3" i="3"/>
  <c r="CJ3" i="3" s="1"/>
  <c r="AC3" i="3"/>
  <c r="J3" i="3"/>
  <c r="CR2" i="3"/>
  <c r="CP2" i="3"/>
  <c r="CN2" i="3"/>
  <c r="CC2" i="3"/>
  <c r="BT2" i="3"/>
  <c r="BU2" i="3" s="1"/>
  <c r="BS2" i="3"/>
  <c r="BM2" i="3"/>
  <c r="AD2" i="3"/>
  <c r="CJ2" i="3" s="1"/>
  <c r="AC2" i="3"/>
  <c r="J2" i="3"/>
  <c r="S2" i="3"/>
  <c r="CS7" i="3" l="1"/>
  <c r="CS11" i="3"/>
  <c r="CS9" i="3"/>
  <c r="BK12" i="3"/>
  <c r="BK8" i="3"/>
  <c r="BK11" i="3"/>
  <c r="CI18" i="3"/>
  <c r="CJ19" i="3"/>
  <c r="CM19" i="3" s="1"/>
  <c r="CM3" i="3"/>
  <c r="CK11" i="3"/>
  <c r="CL11" i="3" s="1"/>
  <c r="CM7" i="3"/>
  <c r="CS18" i="3"/>
  <c r="CM13" i="3"/>
  <c r="CI13" i="3"/>
  <c r="CS3" i="3"/>
  <c r="BK13" i="3"/>
  <c r="S14" i="3"/>
  <c r="BK15" i="3"/>
  <c r="CM4" i="3"/>
  <c r="CS5" i="3"/>
  <c r="BP6" i="3"/>
  <c r="CS17" i="3"/>
  <c r="CS4" i="3"/>
  <c r="S19" i="3"/>
  <c r="CS12" i="3"/>
  <c r="CM9" i="3"/>
  <c r="CM15" i="3"/>
  <c r="BK9" i="3"/>
  <c r="CS20" i="3"/>
  <c r="BV17" i="3"/>
  <c r="CD17" i="3" s="1"/>
  <c r="BV20" i="3"/>
  <c r="CD20" i="3" s="1"/>
  <c r="CI2" i="3"/>
  <c r="BK3" i="3"/>
  <c r="CM5" i="3"/>
  <c r="CI6" i="3"/>
  <c r="BK7" i="3"/>
  <c r="BN11" i="3"/>
  <c r="CM11" i="3"/>
  <c r="CS15" i="3"/>
  <c r="BK2" i="3"/>
  <c r="BK4" i="3"/>
  <c r="CI4" i="3"/>
  <c r="BK5" i="3"/>
  <c r="BK6" i="3"/>
  <c r="BN4" i="3"/>
  <c r="BP8" i="3"/>
  <c r="BP10" i="3"/>
  <c r="CS10" i="3"/>
  <c r="CI17" i="3"/>
  <c r="CM18" i="3"/>
  <c r="CI20" i="3"/>
  <c r="BP2" i="3"/>
  <c r="CS2" i="3"/>
  <c r="BP4" i="3"/>
  <c r="CS6" i="3"/>
  <c r="CS8" i="3"/>
  <c r="CS13" i="3"/>
  <c r="S16" i="3"/>
  <c r="BK17" i="3"/>
  <c r="BP14" i="3"/>
  <c r="BK20" i="3"/>
  <c r="CI15" i="3"/>
  <c r="CI3" i="3"/>
  <c r="CI7" i="3"/>
  <c r="CI9" i="3"/>
  <c r="BV15" i="3"/>
  <c r="CD15" i="3" s="1"/>
  <c r="CM17" i="3"/>
  <c r="CK17" i="3"/>
  <c r="CL17" i="3" s="1"/>
  <c r="BV11" i="3"/>
  <c r="CD11" i="3" s="1"/>
  <c r="BV9" i="3"/>
  <c r="CD9" i="3" s="1"/>
  <c r="BV3" i="3"/>
  <c r="CD3" i="3" s="1"/>
  <c r="BV13" i="3"/>
  <c r="CD13" i="3" s="1"/>
  <c r="BV5" i="3"/>
  <c r="CD5" i="3" s="1"/>
  <c r="BV12" i="3"/>
  <c r="CD12" i="3" s="1"/>
  <c r="BV14" i="3"/>
  <c r="CD14" i="3" s="1"/>
  <c r="CK16" i="3"/>
  <c r="CL16" i="3" s="1"/>
  <c r="CI19" i="3"/>
  <c r="BN2" i="3"/>
  <c r="BN9" i="3"/>
  <c r="CK9" i="3"/>
  <c r="CL9" i="3" s="1"/>
  <c r="BV10" i="3"/>
  <c r="CD10" i="3" s="1"/>
  <c r="CK13" i="3"/>
  <c r="CL13" i="3" s="1"/>
  <c r="CM16" i="3"/>
  <c r="CI16" i="3"/>
  <c r="BV18" i="3"/>
  <c r="CD18" i="3" s="1"/>
  <c r="BN7" i="3"/>
  <c r="CK7" i="3"/>
  <c r="CL7" i="3" s="1"/>
  <c r="BV8" i="3"/>
  <c r="CD8" i="3" s="1"/>
  <c r="CK12" i="3"/>
  <c r="CL12" i="3" s="1"/>
  <c r="CM12" i="3"/>
  <c r="CK14" i="3"/>
  <c r="CL14" i="3" s="1"/>
  <c r="BN16" i="3"/>
  <c r="BN5" i="3"/>
  <c r="CK5" i="3"/>
  <c r="CL5" i="3" s="1"/>
  <c r="BV6" i="3"/>
  <c r="CD6" i="3" s="1"/>
  <c r="CK10" i="3"/>
  <c r="CL10" i="3" s="1"/>
  <c r="CM10" i="3"/>
  <c r="CM14" i="3"/>
  <c r="CI14" i="3"/>
  <c r="BP16" i="3"/>
  <c r="BN17" i="3"/>
  <c r="CK18" i="3"/>
  <c r="CL18" i="3" s="1"/>
  <c r="BP19" i="3"/>
  <c r="BN20" i="3"/>
  <c r="CM20" i="3"/>
  <c r="BN3" i="3"/>
  <c r="CK3" i="3"/>
  <c r="CL3" i="3" s="1"/>
  <c r="BV4" i="3"/>
  <c r="CD4" i="3" s="1"/>
  <c r="CK8" i="3"/>
  <c r="CL8" i="3" s="1"/>
  <c r="CM8" i="3"/>
  <c r="BN12" i="3"/>
  <c r="CI12" i="3"/>
  <c r="BN14" i="3"/>
  <c r="CS19" i="3"/>
  <c r="BP20" i="3"/>
  <c r="CK20" i="3"/>
  <c r="CL20" i="3" s="1"/>
  <c r="BV2" i="3"/>
  <c r="CD2" i="3" s="1"/>
  <c r="CK6" i="3"/>
  <c r="CL6" i="3" s="1"/>
  <c r="CM6" i="3"/>
  <c r="BN10" i="3"/>
  <c r="CI10" i="3"/>
  <c r="BP12" i="3"/>
  <c r="CS16" i="3"/>
  <c r="BN18" i="3"/>
  <c r="BK18" i="3"/>
  <c r="S18" i="3"/>
  <c r="BN15" i="3"/>
  <c r="BV16" i="3"/>
  <c r="CD16" i="3" s="1"/>
  <c r="BP3" i="3"/>
  <c r="BP18" i="3"/>
  <c r="BP17" i="3"/>
  <c r="BP15" i="3"/>
  <c r="BP13" i="3"/>
  <c r="BP11" i="3"/>
  <c r="BP9" i="3"/>
  <c r="BP7" i="3"/>
  <c r="BP5" i="3"/>
  <c r="CK19" i="3"/>
  <c r="CL19" i="3" s="1"/>
  <c r="BV19" i="3"/>
  <c r="CD19" i="3" s="1"/>
  <c r="BN13" i="3"/>
  <c r="CK4" i="3"/>
  <c r="CL4" i="3" s="1"/>
  <c r="BV7" i="3"/>
  <c r="CD7" i="3" s="1"/>
  <c r="BN8" i="3"/>
  <c r="CK2" i="3"/>
  <c r="CL2" i="3" s="1"/>
  <c r="CM2" i="3"/>
  <c r="BN6" i="3"/>
  <c r="CS14" i="3"/>
  <c r="CK15" i="3"/>
  <c r="CL15" i="3" s="1"/>
  <c r="BN19" i="3"/>
  <c r="BL4" i="3" l="1"/>
  <c r="BQ4" i="3" s="1"/>
  <c r="BL7" i="3"/>
  <c r="BQ7" i="3" s="1"/>
  <c r="BL8" i="3"/>
  <c r="BQ8" i="3" s="1"/>
  <c r="BL16" i="3"/>
  <c r="BQ16" i="3" s="1"/>
  <c r="BL3" i="3"/>
  <c r="BQ3" i="3" s="1"/>
  <c r="BL14" i="3"/>
  <c r="BQ14" i="3" s="1"/>
  <c r="BL18" i="3"/>
  <c r="BQ18" i="3" s="1"/>
  <c r="BL13" i="3"/>
  <c r="BQ13" i="3" s="1"/>
  <c r="BL2" i="3"/>
  <c r="BQ2" i="3" s="1"/>
  <c r="BL20" i="3"/>
  <c r="BQ20" i="3" s="1"/>
  <c r="BL15" i="3"/>
  <c r="BQ15" i="3" s="1"/>
  <c r="BL10" i="3"/>
  <c r="BQ10" i="3" s="1"/>
  <c r="BL11" i="3"/>
  <c r="BQ11" i="3" s="1"/>
  <c r="BL19" i="3"/>
  <c r="BQ19" i="3" s="1"/>
  <c r="BL6" i="3"/>
  <c r="BQ6" i="3" s="1"/>
  <c r="BL12" i="3"/>
  <c r="BQ12" i="3" s="1"/>
  <c r="BL17" i="3"/>
  <c r="BQ17" i="3" s="1"/>
  <c r="BL5" i="3"/>
  <c r="BQ5" i="3" s="1"/>
  <c r="BL9" i="3"/>
  <c r="BQ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<sst xmlns="http://schemas.openxmlformats.org/spreadsheetml/2006/main" count="525" uniqueCount="265">
  <si>
    <t>Population</t>
  </si>
  <si>
    <t>% cover of households(Num of houeholds hks covers/ Total Number of households)</t>
  </si>
  <si>
    <t>Working hrs</t>
  </si>
  <si>
    <t>Household Revenue (calculated)</t>
  </si>
  <si>
    <t>Weight in KG</t>
  </si>
  <si>
    <t>40. How much maximum waste can you collect in a day, with your capacity of what assets you have?</t>
  </si>
  <si>
    <t>Household coverage ratio(Hks households/total Households)</t>
  </si>
  <si>
    <t>Household Coverage Index</t>
  </si>
  <si>
    <t>Individual Load(Total weight/No of workers)</t>
  </si>
  <si>
    <t>Individual Load Index</t>
  </si>
  <si>
    <t>Max Capacity Index</t>
  </si>
  <si>
    <t>Operational Capacity Index(Avg of household Indes, Individual load Index, Max capacity Index)</t>
  </si>
  <si>
    <t>Hr Score</t>
  </si>
  <si>
    <t>Daily rate</t>
  </si>
  <si>
    <t>Hourly rate</t>
  </si>
  <si>
    <t>Wage Score(Normalisation of hourly rate)</t>
  </si>
  <si>
    <t>Gloves</t>
  </si>
  <si>
    <t>Footwear</t>
  </si>
  <si>
    <t>Mask</t>
  </si>
  <si>
    <t>Cap</t>
  </si>
  <si>
    <t>Sanitizer</t>
  </si>
  <si>
    <t>Uniform</t>
  </si>
  <si>
    <t>SafEty Score( scoring system based on availability of safety equipment (out of 6))</t>
  </si>
  <si>
    <t>Working Condition Score(Hr score+ Wage score+ Safety score)</t>
  </si>
  <si>
    <t>Revenue Per Kg of Recycled Waste(food)</t>
  </si>
  <si>
    <t>Revenue Per Kg of Recycled Waste(Plastic)</t>
  </si>
  <si>
    <t>Total Revenue made from the Waste</t>
  </si>
  <si>
    <t>Food Waste Revenue (When Sold as Fertilizer)</t>
  </si>
  <si>
    <t xml:space="preserve">Plastic Waste Revenue </t>
  </si>
  <si>
    <t>Total Revenue for HKS</t>
  </si>
  <si>
    <t>Total Revenue of waste</t>
  </si>
  <si>
    <t>% of revenue raised from waste going to HKS workers</t>
  </si>
  <si>
    <t>Amt of money coorporation is losing out on by outsourcing</t>
  </si>
  <si>
    <t>Coorporation Expenditure</t>
  </si>
  <si>
    <t>Distance to closest food recycling plant</t>
  </si>
  <si>
    <t>Score</t>
  </si>
  <si>
    <t>distance to closest plastic sorting centre</t>
  </si>
  <si>
    <t>distance to closest plastic sorting centre_score</t>
  </si>
  <si>
    <t>Logistic Index</t>
  </si>
  <si>
    <t>Greenworms</t>
  </si>
  <si>
    <t>Wkerala</t>
  </si>
  <si>
    <t>Yes</t>
  </si>
  <si>
    <t>50-59</t>
  </si>
  <si>
    <t>05:00:00.000+05:30</t>
  </si>
  <si>
    <t>11:00:00.000+05:30</t>
  </si>
  <si>
    <t>Source segregation</t>
  </si>
  <si>
    <t>Food, Plastic, Glass, Cloth, Leaves</t>
  </si>
  <si>
    <t>Training was conducted for waste segregation, uses and value-addition.</t>
  </si>
  <si>
    <t>None</t>
  </si>
  <si>
    <t>Gloves Special Footwear Mask Others</t>
  </si>
  <si>
    <t>No</t>
  </si>
  <si>
    <t>Ton</t>
  </si>
  <si>
    <t>Toilets of the Houses they serve</t>
  </si>
  <si>
    <t>It is a mixed bag. They are treated with respect by some, but seen as dirty/ragpickers by others. The kinder people provide basics like bathroom access, water, chai, etc</t>
  </si>
  <si>
    <t>Drawn from Municipal Corporation and SHGs based on selection of ward councillors.</t>
  </si>
  <si>
    <t>25-65</t>
  </si>
  <si>
    <t>07:00:00.000+05:30</t>
  </si>
  <si>
    <t>Near Edapally Zonal Office (Anjuman Corporation)</t>
  </si>
  <si>
    <t>Food, Plastic</t>
  </si>
  <si>
    <t>Training every 6 months for 3 days on collection of waste</t>
  </si>
  <si>
    <t>Gloves Mask Others</t>
  </si>
  <si>
    <t>Cap, Jacket, Sanitiser</t>
  </si>
  <si>
    <t>Tricycle</t>
  </si>
  <si>
    <t>Public Toilets (Sulabh Comfort Station)</t>
  </si>
  <si>
    <t>Respected</t>
  </si>
  <si>
    <t>Personal Expense</t>
  </si>
  <si>
    <t>35-55</t>
  </si>
  <si>
    <t>Training every 6 months for 3 days on Waste Collection</t>
  </si>
  <si>
    <t>32-65</t>
  </si>
  <si>
    <t>02:00:00.000+05:30</t>
  </si>
  <si>
    <t>08:00:00.000+05:30</t>
  </si>
  <si>
    <t>Plastic and biodegradable waste</t>
  </si>
  <si>
    <t>No benefits</t>
  </si>
  <si>
    <t>Hand drawn 3 wheel carts</t>
  </si>
  <si>
    <t>Infections due to working bare hands and injuries die to medical waste like syringes dumped in the waste</t>
  </si>
  <si>
    <t>From the user fees</t>
  </si>
  <si>
    <t>30-56</t>
  </si>
  <si>
    <t>03:00:00.000+05:30</t>
  </si>
  <si>
    <t>Wet waste and plastics</t>
  </si>
  <si>
    <t>Gloves Mask</t>
  </si>
  <si>
    <t>Nothing</t>
  </si>
  <si>
    <t>10 three wheel hand drawn carts</t>
  </si>
  <si>
    <t>Infections</t>
  </si>
  <si>
    <t>Everything comes under the user fees. Sometimes they receive bonuses on festivals.</t>
  </si>
  <si>
    <t>35-45</t>
  </si>
  <si>
    <t>21:00:00.000+05:30</t>
  </si>
  <si>
    <t>04:00:00.000+05:30</t>
  </si>
  <si>
    <t>Food waste, Plastic waste</t>
  </si>
  <si>
    <t>Training under Suchitwa mission, Haritha Kerala mission by LSTD department</t>
  </si>
  <si>
    <t>Gloves Others</t>
  </si>
  <si>
    <t>Jacket</t>
  </si>
  <si>
    <t>Kilogram</t>
  </si>
  <si>
    <t>Public Toilets (Sulabh Comfort Station) HKS members houses</t>
  </si>
  <si>
    <t>respected</t>
  </si>
  <si>
    <t>No funding is recieved</t>
  </si>
  <si>
    <t>24-55</t>
  </si>
  <si>
    <t>Plastic, food waste</t>
  </si>
  <si>
    <t>awareness classes</t>
  </si>
  <si>
    <t>no</t>
  </si>
  <si>
    <t>sanitizer, caps, uniform</t>
  </si>
  <si>
    <t>none</t>
  </si>
  <si>
    <t>Tricycles</t>
  </si>
  <si>
    <t>some respect them, some treat them as ragpickers</t>
  </si>
  <si>
    <t>fever, respiratory disease, leg and joint pain</t>
  </si>
  <si>
    <t>They used to collect waste before HKS was made and then were integrated into it.</t>
  </si>
  <si>
    <t>30-45</t>
  </si>
  <si>
    <t>13:00:00.000+05:30</t>
  </si>
  <si>
    <t>Food, Plastic, Glass, Leaf, Cloth</t>
  </si>
  <si>
    <t>Collection, Segregation</t>
  </si>
  <si>
    <t>Gloves Special Footwear Mask</t>
  </si>
  <si>
    <t>E-tempo</t>
  </si>
  <si>
    <t>Public Toilets (Sulabh Comfort Station) Toilets of the Houses they serve</t>
  </si>
  <si>
    <t>Mixed</t>
  </si>
  <si>
    <t>Councellor picked out people</t>
  </si>
  <si>
    <t>food, plastic, rubber</t>
  </si>
  <si>
    <t>0</t>
  </si>
  <si>
    <t>how to properly manage the waste and segregate it</t>
  </si>
  <si>
    <t>Majority of people respect them for the work they do while a few people still consider them "dirty"</t>
  </si>
  <si>
    <t>They do not receive any kind of funding</t>
  </si>
  <si>
    <t>24-48</t>
  </si>
  <si>
    <t>12:00:00.000+05:30</t>
  </si>
  <si>
    <t>Food, Plastic, E-Waste, Cloth</t>
  </si>
  <si>
    <t>Collections and segregation</t>
  </si>
  <si>
    <t>Sanitizers</t>
  </si>
  <si>
    <t>They were picked by the Kochi Municipal Corporation. Not sure on how they receive funding</t>
  </si>
  <si>
    <t>40-65</t>
  </si>
  <si>
    <t>23:30:00.000+05:30</t>
  </si>
  <si>
    <t>01:30:00.000+05:30</t>
  </si>
  <si>
    <t>Plastic and food waste</t>
  </si>
  <si>
    <t>awareness class</t>
  </si>
  <si>
    <t>caps, sanitizer</t>
  </si>
  <si>
    <t>Shoulder pain, back and joint pain</t>
  </si>
  <si>
    <t>Through Kudumbashree's clean kerala program</t>
  </si>
  <si>
    <t>23-55</t>
  </si>
  <si>
    <t>Opposite to the folklore museum</t>
  </si>
  <si>
    <t>Plastic and Biowaste</t>
  </si>
  <si>
    <t>training to understand the types of food, removal of plastic, handling waste</t>
  </si>
  <si>
    <t>They are sometimes othered in the society and residents sometimes say that they smell. In general, they are respected but there are instances like such</t>
  </si>
  <si>
    <t>There are certain members who reported who have reported to have gotten white colours on their skin and some breathing issues was reported as well</t>
  </si>
  <si>
    <t>No funding for fuel was received</t>
  </si>
  <si>
    <t>28-51</t>
  </si>
  <si>
    <t>15:00:00.000+05:30</t>
  </si>
  <si>
    <t>01:00:00.000+05:30</t>
  </si>
  <si>
    <t>plastic, food waste</t>
  </si>
  <si>
    <t>awareness class for plastic</t>
  </si>
  <si>
    <t>skin disease, nausea, vomiting, knee, joint, and shoulder pain</t>
  </si>
  <si>
    <t>Through kudumbashree</t>
  </si>
  <si>
    <t>40-50</t>
  </si>
  <si>
    <t>10:00:00.000+05:30</t>
  </si>
  <si>
    <t>Outside Public Health Inspector Office</t>
  </si>
  <si>
    <t>Food, Plastic, Cloth, Chappal</t>
  </si>
  <si>
    <t>Segregation of Plastic by density</t>
  </si>
  <si>
    <t>Kudumbashree</t>
  </si>
  <si>
    <t>In the year 2022, from kudumbashree as a part of haritha kerala mission HKS was formed. They don't receive any funding. The tricycles are provided by the corporation and they have give from their own pocket for maintenance.</t>
  </si>
  <si>
    <t>35-50</t>
  </si>
  <si>
    <t>14:00:00.000+05:30</t>
  </si>
  <si>
    <t>Near Bastine Babu Councillor Office</t>
  </si>
  <si>
    <t>Food, Plastic, Cloth, Chappal, Thermocol</t>
  </si>
  <si>
    <t>Breathing issues, High Blood Pressure</t>
  </si>
  <si>
    <t>In the year 2022, after covid, HKS was formed. They don't have any support from the Government so no funding as such</t>
  </si>
  <si>
    <t>30-40</t>
  </si>
  <si>
    <t>Near Kanoos Theatre</t>
  </si>
  <si>
    <t>Segregation of unwanted plastic and reusable plastic</t>
  </si>
  <si>
    <t>In the year 2022, from kudumbashree Haritha Karma Sena was formed. No funding is given by the municipal corporation or the government.</t>
  </si>
  <si>
    <t>45-55</t>
  </si>
  <si>
    <t>plastic, chappals, bags, food , clothes</t>
  </si>
  <si>
    <t>nil</t>
  </si>
  <si>
    <t>no affiliation</t>
  </si>
  <si>
    <t>Green uniform</t>
  </si>
  <si>
    <t>Toilets of the Houses they serve HKS members houses</t>
  </si>
  <si>
    <t>generally good respond by the residents</t>
  </si>
  <si>
    <t>1 Member has asthama</t>
  </si>
  <si>
    <t>Kudumbashree organised the HKS, fuel is free, equipment given is also free</t>
  </si>
  <si>
    <t>food waste, plastic waste, chappals, bag, glass, medicine bottle</t>
  </si>
  <si>
    <t>1 member got training, training on waste segregation</t>
  </si>
  <si>
    <t>sanitizer</t>
  </si>
  <si>
    <t>no social security benefits</t>
  </si>
  <si>
    <t>12 tricycles</t>
  </si>
  <si>
    <t>HKS members houses</t>
  </si>
  <si>
    <t>treated with respect, residents want to pay them more money on occasions like onam</t>
  </si>
  <si>
    <t>asthama, eye sight problem, ear problem, arthritis, cant lift heavy weighted things</t>
  </si>
  <si>
    <t>18 kudumshree members helped form the HKS, funding for vehicle provided from kudumbashree</t>
  </si>
  <si>
    <t>06:00:00.000+05:30</t>
  </si>
  <si>
    <t>plastic, food</t>
  </si>
  <si>
    <t>Councillor + kudumbashree</t>
  </si>
  <si>
    <t>sanitiser</t>
  </si>
  <si>
    <t>no social security benefits, proposed insurance</t>
  </si>
  <si>
    <t>mixed responses</t>
  </si>
  <si>
    <t>through Councillor and kudumbashree</t>
  </si>
  <si>
    <t>Ward Number</t>
  </si>
  <si>
    <t>Ward Name</t>
  </si>
  <si>
    <t>Num of Households</t>
  </si>
  <si>
    <t>Presence of HKS</t>
  </si>
  <si>
    <t>Num of HKS in the Ward</t>
  </si>
  <si>
    <t>Num of HKS Members</t>
  </si>
  <si>
    <t>Number of male HKS members</t>
  </si>
  <si>
    <t>Number of female HKS members</t>
  </si>
  <si>
    <t>% of female members</t>
  </si>
  <si>
    <t>Number of SC/ST Members</t>
  </si>
  <si>
    <t>Number of OBC Members</t>
  </si>
  <si>
    <t>Number of General Category Members</t>
  </si>
  <si>
    <t>Age range of HKS Members</t>
  </si>
  <si>
    <t>In which year was the HKS established?</t>
  </si>
  <si>
    <t>Number of SHGs represented in the HKS</t>
  </si>
  <si>
    <t>How many members use smartphones?</t>
  </si>
  <si>
    <t>Num of Residential units covered by HKS</t>
  </si>
  <si>
    <t>Num of non-residential units covered by HKS</t>
  </si>
  <si>
    <t>Time HKS starts working</t>
  </si>
  <si>
    <t>Time HKS stops working</t>
  </si>
  <si>
    <t>Num of times a single household will be covered in a month</t>
  </si>
  <si>
    <t>Waste Segregation carried out at</t>
  </si>
  <si>
    <t>Geo Location of Place of Waste Segregation _latitude</t>
  </si>
  <si>
    <t>Geo Location of Place of Waste Segregation _longitude</t>
  </si>
  <si>
    <t>What types of waste are collected?</t>
  </si>
  <si>
    <t>Revenue from user fees in a month</t>
  </si>
  <si>
    <t>Revenue from sale of waste in a month</t>
  </si>
  <si>
    <t>Revenue from other sources in a month</t>
  </si>
  <si>
    <t>Amt of receipt/support received from the government</t>
  </si>
  <si>
    <t>Training given to members for waste segregation.</t>
  </si>
  <si>
    <t>If yes, what type of training was conducted?</t>
  </si>
  <si>
    <t>How many houses are visited per day</t>
  </si>
  <si>
    <t>Does the HKS have any affiliation with other entities?</t>
  </si>
  <si>
    <t>What safety gear do members use?</t>
  </si>
  <si>
    <t>Usage of Gloves</t>
  </si>
  <si>
    <t>Usage of Special Footwear</t>
  </si>
  <si>
    <t>Usage of Mask</t>
  </si>
  <si>
    <t>Usage of Other Safety Equipment</t>
  </si>
  <si>
    <t>If Others specify</t>
  </si>
  <si>
    <t>Daily expenses incurred for HKS members during work?</t>
  </si>
  <si>
    <t xml:space="preserve">What social security benefits do HKS Workers have? </t>
  </si>
  <si>
    <t>Does the HKS have ownership of any vehicles?</t>
  </si>
  <si>
    <t>If Yes, Details</t>
  </si>
  <si>
    <t>Quantity of Waste the HKS collects in a month(specify unit in next question)</t>
  </si>
  <si>
    <t>Unit of waste collected</t>
  </si>
  <si>
    <t>How much maximum waste can you collect in a day, with your capacity of what assets you have?</t>
  </si>
  <si>
    <t>Can you please detail out the toilets which HKS workers use?</t>
  </si>
  <si>
    <t>Can you please detail out the toilets which HKS workers use?/Public Toilets (Sulabh Comfort Station)</t>
  </si>
  <si>
    <t>Usage of Toilets of the Houses they serve</t>
  </si>
  <si>
    <t>Usage of HKS members houses</t>
  </si>
  <si>
    <t>Usage of None</t>
  </si>
  <si>
    <t>How they are treated by residents - treated as ragpickers, or respected?</t>
  </si>
  <si>
    <t>Are toilet facilities easily available for HKS Workers</t>
  </si>
  <si>
    <t>Did HKS members develop have any occupational diseases as part of their work?</t>
  </si>
  <si>
    <t>If Yes, Can you give details</t>
  </si>
  <si>
    <t>What will be monthly earning of an HKS Member</t>
  </si>
  <si>
    <t>How did the HKS become organised. How do they recieve funding( for fuel etc).?</t>
  </si>
  <si>
    <t>Nambiapuram</t>
  </si>
  <si>
    <t>Amaravathy</t>
  </si>
  <si>
    <t>Mamangalam</t>
  </si>
  <si>
    <t>Padivattom</t>
  </si>
  <si>
    <t>Gandhi Nagar</t>
  </si>
  <si>
    <t>Elamkualam</t>
  </si>
  <si>
    <t>Edappally</t>
  </si>
  <si>
    <t>Vaduthala West</t>
  </si>
  <si>
    <t>Fort Kochi</t>
  </si>
  <si>
    <t>Perumanoor</t>
  </si>
  <si>
    <t>Nazarat</t>
  </si>
  <si>
    <t>Elamakkara North</t>
  </si>
  <si>
    <t>Thevara</t>
  </si>
  <si>
    <t>Puthukalavattom</t>
  </si>
  <si>
    <t>Tharebagom</t>
  </si>
  <si>
    <t>Karauvelipady</t>
  </si>
  <si>
    <t>Chakkamadom</t>
  </si>
  <si>
    <t>Kadebagom</t>
  </si>
  <si>
    <t>Mundamveli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</si>
</sst>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10" fontId="0" fillId="0" borderId="0" xfId="1" applyNumberFormat="1" applyFont="1" applyFill="1"/>
    <xf numFmtId="164" fontId="0" fillId="0" borderId="0" xfId="1" applyNumberFormat="1" applyFont="1" applyFill="1"/>
    <xf numFmtId="1" fontId="0" fillId="0" borderId="0" xfId="0" applyNumberFormat="1"/>
    <xf numFmtId="2" fontId="0" fillId="2" borderId="0" xfId="0" applyNumberFormat="1" applyFill="1"/>
    <xf numFmtId="164" fontId="0" fillId="0" borderId="0" xfId="1" applyNumberFormat="1" applyFont="1"/>
    <xf numFmtId="164" fontId="0" fillId="4" borderId="0" xfId="1" applyNumberFormat="1" applyFont="1" applyFill="1"/>
    <xf numFmtId="0" fontId="0" fillId="5" borderId="0" xfId="0" applyFill="1"/>
  </cellXfs>
  <cellStyles count="2">
    <cellStyle name="Normal" xfId="0" builtinId="0"/>
    <cellStyle name="Percent" xfId="1" builtinId="5"/>
  </cellStyles>
  <dxfs count="1">
    <dxf>
      <font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458E-EEE7-49EF-982E-F3B1602E0BBC}">
  <dimension ref="A1:CU21"/>
  <sheetViews>
    <sheetView tabSelected="1" workbookViewId="0">
      <pane xSplit="2" ySplit="1" topLeftCell="CL2" activePane="bottomRight" state="frozen"/>
      <selection pane="topRight" activeCell="C1" sqref="C1"/>
      <selection pane="bottomLeft" activeCell="A2" sqref="A2"/>
      <selection pane="bottomRight" activeCell="CR3" sqref="CR3"/>
    </sheetView>
  </sheetViews>
  <sheetFormatPr defaultRowHeight="15" x14ac:dyDescent="0.25"/>
  <cols>
    <col min="2" max="2" width="20.5703125" bestFit="1" customWidth="1"/>
  </cols>
  <sheetData>
    <row r="1" spans="1:99" x14ac:dyDescent="0.25">
      <c r="A1" t="s">
        <v>189</v>
      </c>
      <c r="B1" t="s">
        <v>190</v>
      </c>
      <c r="C1" t="s">
        <v>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205</v>
      </c>
      <c r="S1" t="s">
        <v>1</v>
      </c>
      <c r="T1" t="s">
        <v>206</v>
      </c>
      <c r="U1" t="s">
        <v>207</v>
      </c>
      <c r="V1" t="s">
        <v>208</v>
      </c>
      <c r="W1" t="s">
        <v>2</v>
      </c>
      <c r="X1" t="s">
        <v>209</v>
      </c>
      <c r="Y1" t="s">
        <v>210</v>
      </c>
      <c r="Z1" t="s">
        <v>211</v>
      </c>
      <c r="AA1" t="s">
        <v>212</v>
      </c>
      <c r="AB1" t="s">
        <v>213</v>
      </c>
      <c r="AC1" t="s">
        <v>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220</v>
      </c>
      <c r="AK1" t="s">
        <v>221</v>
      </c>
      <c r="AL1" t="s">
        <v>222</v>
      </c>
      <c r="AM1" t="s">
        <v>223</v>
      </c>
      <c r="AN1" t="s">
        <v>224</v>
      </c>
      <c r="AO1" t="s">
        <v>225</v>
      </c>
      <c r="AP1" t="s">
        <v>226</v>
      </c>
      <c r="AQ1" t="s">
        <v>227</v>
      </c>
      <c r="AR1" t="s">
        <v>228</v>
      </c>
      <c r="AS1" t="s">
        <v>229</v>
      </c>
      <c r="AT1" t="s">
        <v>230</v>
      </c>
      <c r="AU1" t="s">
        <v>231</v>
      </c>
      <c r="AV1" t="s">
        <v>232</v>
      </c>
      <c r="AW1" t="s">
        <v>233</v>
      </c>
      <c r="AX1" t="s">
        <v>4</v>
      </c>
      <c r="AY1" t="s">
        <v>234</v>
      </c>
      <c r="AZ1" t="s">
        <v>235</v>
      </c>
      <c r="BA1" t="s">
        <v>236</v>
      </c>
      <c r="BB1" t="s">
        <v>237</v>
      </c>
      <c r="BC1" t="s">
        <v>238</v>
      </c>
      <c r="BD1" t="s">
        <v>239</v>
      </c>
      <c r="BE1" t="s">
        <v>240</v>
      </c>
      <c r="BF1" t="s">
        <v>241</v>
      </c>
      <c r="BG1" t="s">
        <v>242</v>
      </c>
      <c r="BH1" t="s">
        <v>243</v>
      </c>
      <c r="BI1" t="s">
        <v>244</v>
      </c>
      <c r="BJ1" t="s">
        <v>245</v>
      </c>
      <c r="BK1" s="1" t="s">
        <v>6</v>
      </c>
      <c r="BL1" s="1" t="s">
        <v>7</v>
      </c>
      <c r="BM1" s="1" t="s">
        <v>8</v>
      </c>
      <c r="BN1" s="1" t="s">
        <v>9</v>
      </c>
      <c r="BO1" s="1" t="s">
        <v>5</v>
      </c>
      <c r="BP1" s="1" t="s">
        <v>10</v>
      </c>
      <c r="BQ1" s="1" t="s">
        <v>11</v>
      </c>
      <c r="BR1" s="2" t="s">
        <v>2</v>
      </c>
      <c r="BS1" s="2" t="s">
        <v>12</v>
      </c>
      <c r="BT1" s="2" t="s">
        <v>13</v>
      </c>
      <c r="BU1" s="2" t="s">
        <v>14</v>
      </c>
      <c r="BV1" s="2" t="s">
        <v>15</v>
      </c>
      <c r="BW1" s="2" t="s">
        <v>16</v>
      </c>
      <c r="BX1" s="2" t="s">
        <v>17</v>
      </c>
      <c r="BY1" s="2" t="s">
        <v>18</v>
      </c>
      <c r="BZ1" s="2" t="s">
        <v>19</v>
      </c>
      <c r="CA1" s="2" t="s">
        <v>20</v>
      </c>
      <c r="CB1" s="2" t="s">
        <v>21</v>
      </c>
      <c r="CC1" s="2" t="s">
        <v>22</v>
      </c>
      <c r="CD1" s="2" t="s">
        <v>23</v>
      </c>
      <c r="CE1" t="s">
        <v>24</v>
      </c>
      <c r="CF1" t="s">
        <v>25</v>
      </c>
      <c r="CG1" s="2" t="s">
        <v>26</v>
      </c>
      <c r="CH1" s="2" t="s">
        <v>27</v>
      </c>
      <c r="CI1" s="2" t="s">
        <v>28</v>
      </c>
      <c r="CJ1" s="2" t="s">
        <v>29</v>
      </c>
      <c r="CK1" s="2" t="s">
        <v>30</v>
      </c>
      <c r="CL1" s="2" t="s">
        <v>31</v>
      </c>
      <c r="CM1" s="2" t="s">
        <v>32</v>
      </c>
      <c r="CN1" s="2" t="s">
        <v>33</v>
      </c>
      <c r="CO1" s="2" t="s">
        <v>34</v>
      </c>
      <c r="CP1" s="2" t="s">
        <v>35</v>
      </c>
      <c r="CQ1" s="2" t="s">
        <v>36</v>
      </c>
      <c r="CR1" s="2" t="s">
        <v>37</v>
      </c>
      <c r="CS1" s="2" t="s">
        <v>38</v>
      </c>
      <c r="CT1" s="2" t="s">
        <v>39</v>
      </c>
      <c r="CU1" s="2" t="s">
        <v>40</v>
      </c>
    </row>
    <row r="2" spans="1:99" x14ac:dyDescent="0.25">
      <c r="A2">
        <v>28</v>
      </c>
      <c r="B2" t="s">
        <v>247</v>
      </c>
      <c r="C2" cm="1">
        <v>9439</v>
      </c>
      <c r="D2">
        <f>ROUND(C2/4.0323,0)</f>
        <v>2341</v>
      </c>
      <c r="E2" t="s">
        <v>41</v>
      </c>
      <c r="F2">
        <v>1</v>
      </c>
      <c r="G2">
        <v>9</v>
      </c>
      <c r="H2">
        <v>2</v>
      </c>
      <c r="I2">
        <v>7</v>
      </c>
      <c r="J2" s="3">
        <f>I2/G2</f>
        <v>0.77777777777777779</v>
      </c>
      <c r="K2">
        <v>5</v>
      </c>
      <c r="L2">
        <v>1</v>
      </c>
      <c r="M2">
        <v>3</v>
      </c>
      <c r="N2" t="s">
        <v>42</v>
      </c>
      <c r="O2">
        <v>2021</v>
      </c>
      <c r="P2">
        <v>2</v>
      </c>
      <c r="Q2">
        <v>9</v>
      </c>
      <c r="R2">
        <v>1600</v>
      </c>
      <c r="S2" s="4">
        <f>R2/D2</f>
        <v>0.6834686031610423</v>
      </c>
      <c r="T2">
        <v>32</v>
      </c>
      <c r="U2" t="s">
        <v>43</v>
      </c>
      <c r="V2" t="s">
        <v>44</v>
      </c>
      <c r="W2">
        <v>6</v>
      </c>
      <c r="X2">
        <v>26</v>
      </c>
      <c r="Y2" t="s">
        <v>45</v>
      </c>
      <c r="Z2">
        <v>9.9547550000000005</v>
      </c>
      <c r="AA2">
        <v>76.242406000000003</v>
      </c>
      <c r="AB2" t="s">
        <v>46</v>
      </c>
      <c r="AC2">
        <f t="shared" ref="AC2:AC20" si="0">300*R2</f>
        <v>480000</v>
      </c>
      <c r="AD2">
        <f>150*R2</f>
        <v>240000</v>
      </c>
      <c r="AE2">
        <v>0</v>
      </c>
      <c r="AF2">
        <v>0</v>
      </c>
      <c r="AG2">
        <v>0</v>
      </c>
      <c r="AH2" t="s">
        <v>41</v>
      </c>
      <c r="AI2" t="s">
        <v>47</v>
      </c>
      <c r="AJ2">
        <v>1600</v>
      </c>
      <c r="AK2" t="s">
        <v>48</v>
      </c>
      <c r="AL2" t="s">
        <v>49</v>
      </c>
      <c r="AM2">
        <v>1</v>
      </c>
      <c r="AN2">
        <v>1</v>
      </c>
      <c r="AO2">
        <v>1</v>
      </c>
      <c r="AP2">
        <v>1</v>
      </c>
      <c r="AQ2" t="s">
        <v>20</v>
      </c>
      <c r="AR2">
        <v>200</v>
      </c>
      <c r="AS2" t="s">
        <v>48</v>
      </c>
      <c r="AT2" t="s">
        <v>50</v>
      </c>
      <c r="AV2">
        <v>200</v>
      </c>
      <c r="AW2" t="s">
        <v>51</v>
      </c>
      <c r="AX2" s="5">
        <v>25000</v>
      </c>
      <c r="AY2">
        <v>890</v>
      </c>
      <c r="AZ2" t="s">
        <v>52</v>
      </c>
      <c r="BA2">
        <v>0</v>
      </c>
      <c r="BB2">
        <v>1</v>
      </c>
      <c r="BC2">
        <v>0</v>
      </c>
      <c r="BD2">
        <v>0</v>
      </c>
      <c r="BE2" t="s">
        <v>53</v>
      </c>
      <c r="BF2" t="s">
        <v>41</v>
      </c>
      <c r="BG2" t="s">
        <v>50</v>
      </c>
      <c r="BI2">
        <v>20000</v>
      </c>
      <c r="BJ2" t="s">
        <v>54</v>
      </c>
      <c r="BK2" s="1">
        <f t="shared" ref="BK2:BK20" si="1">R2/D2</f>
        <v>0.6834686031610423</v>
      </c>
      <c r="BL2" s="2">
        <f>(BK2-MIN($BK$2:$BK$20))/(MAX($BK$2:$BK$20)-MIN($BK$2:$BK$20))*100</f>
        <v>31.742455922219015</v>
      </c>
      <c r="BM2" s="6">
        <f t="shared" ref="BM2:BM20" si="2">AX2/G2</f>
        <v>2777.7777777777778</v>
      </c>
      <c r="BN2" s="1">
        <f>(1-(BM2-MIN($BM$2:$BM$20))/(MAX($BM$2:$BM$20)-MIN($BM$2:$BM$20)))*100</f>
        <v>59.52147795179701</v>
      </c>
      <c r="BO2" s="1">
        <v>890</v>
      </c>
      <c r="BP2" s="1">
        <f>(BO2 - MIN($BO$2:$BO$20)) / (MAX($BO$2:$BO$20) - MIN($BO$2:$BO$20))*100</f>
        <v>14.634146341463413</v>
      </c>
      <c r="BQ2" s="1">
        <f>AVERAGE(BP2,BN2,BL2)</f>
        <v>35.299360071826477</v>
      </c>
      <c r="BR2" s="2">
        <v>6</v>
      </c>
      <c r="BS2" s="2">
        <f>IF(BR2&lt;=8,100,(BR2-8)*10)</f>
        <v>100</v>
      </c>
      <c r="BT2" s="2">
        <f t="shared" ref="BT2:BT20" si="3">BI2/30</f>
        <v>666.66666666666663</v>
      </c>
      <c r="BU2" s="2">
        <f t="shared" ref="BU2:BU20" si="4">BT2/BR2</f>
        <v>111.1111111111111</v>
      </c>
      <c r="BV2" s="2">
        <f>(BU2-MIN($BU$2:$BU$20))/(MAX($BU$2:$BU$20)-MIN($BU$2:$BU$20))*100</f>
        <v>14.035087719298245</v>
      </c>
      <c r="BW2" s="2">
        <v>1</v>
      </c>
      <c r="BX2" s="2">
        <v>1</v>
      </c>
      <c r="BY2" s="2">
        <v>1</v>
      </c>
      <c r="BZ2" s="2">
        <v>0</v>
      </c>
      <c r="CA2" s="2">
        <v>1</v>
      </c>
      <c r="CB2" s="2">
        <v>0</v>
      </c>
      <c r="CC2" s="2">
        <f>(SUM(BW2:CB2)/6)*100</f>
        <v>66.666666666666657</v>
      </c>
      <c r="CD2" s="2">
        <f>((BV2*0.5)+(CC2*0.35)+(BS2*0.15))</f>
        <v>45.350877192982452</v>
      </c>
      <c r="CE2" s="2">
        <v>11</v>
      </c>
      <c r="CF2" s="2">
        <v>12</v>
      </c>
      <c r="CG2" s="2">
        <f>(11*(0.72*AX2))+(12*(0.28*AX2))</f>
        <v>282000</v>
      </c>
      <c r="CH2" s="2">
        <f>11*(0.7*AX2)</f>
        <v>192500</v>
      </c>
      <c r="CI2" s="2">
        <f>CG2-CH2</f>
        <v>89500</v>
      </c>
      <c r="CJ2" s="2">
        <f t="shared" ref="CJ2:CJ20" si="5">AD2+AE2+AF2</f>
        <v>240000</v>
      </c>
      <c r="CK2" s="2">
        <f>CJ2+CG2</f>
        <v>522000</v>
      </c>
      <c r="CL2" s="7">
        <f>CJ2/CK2</f>
        <v>0.45977011494252873</v>
      </c>
      <c r="CM2">
        <f>CG2-CJ2</f>
        <v>42000</v>
      </c>
      <c r="CN2">
        <f t="shared" ref="CN2:CN20" si="6">(4*0.72*AX2)+(2.5*0.28*AX2)</f>
        <v>89500</v>
      </c>
      <c r="CO2">
        <v>27</v>
      </c>
      <c r="CP2">
        <f>(1-(CO2-MIN($CO$2:$CO$20))/(MAX($CO$2:$CO$20)-MIN($CO$2:$CO$20)))*100</f>
        <v>5.2356020942408321</v>
      </c>
      <c r="CQ2">
        <v>2.1</v>
      </c>
      <c r="CR2">
        <f>(1-(CQ2-MIN($CQ$2:$CQ$20))/(MAX($CQ$2:$CQ$20)-MIN($CQ$2:$CQ$20)))*100</f>
        <v>77.142857142857139</v>
      </c>
      <c r="CS2">
        <f>AVERAGE(CR2,CP2)</f>
        <v>41.189229618548985</v>
      </c>
      <c r="CT2" t="s">
        <v>50</v>
      </c>
      <c r="CU2" t="s">
        <v>50</v>
      </c>
    </row>
    <row r="3" spans="1:99" x14ac:dyDescent="0.25">
      <c r="A3">
        <v>40</v>
      </c>
      <c r="B3" t="s">
        <v>248</v>
      </c>
      <c r="C3">
        <v>5770</v>
      </c>
      <c r="D3">
        <f t="shared" ref="D3:D20" si="7">ROUND(C3/4.0323,0)</f>
        <v>1431</v>
      </c>
      <c r="E3" t="s">
        <v>41</v>
      </c>
      <c r="F3">
        <v>1</v>
      </c>
      <c r="G3">
        <v>12</v>
      </c>
      <c r="H3">
        <v>10</v>
      </c>
      <c r="I3">
        <v>2</v>
      </c>
      <c r="J3" s="3">
        <f t="shared" ref="J3:J20" si="8">I3/G3</f>
        <v>0.16666666666666666</v>
      </c>
      <c r="K3">
        <v>4</v>
      </c>
      <c r="L3">
        <v>2</v>
      </c>
      <c r="M3">
        <v>6</v>
      </c>
      <c r="N3" t="s">
        <v>55</v>
      </c>
      <c r="O3">
        <v>2023</v>
      </c>
      <c r="P3">
        <v>0</v>
      </c>
      <c r="Q3">
        <v>12</v>
      </c>
      <c r="R3">
        <v>2000</v>
      </c>
      <c r="S3" s="8">
        <v>1</v>
      </c>
      <c r="T3">
        <v>0</v>
      </c>
      <c r="U3" t="s">
        <v>43</v>
      </c>
      <c r="V3" t="s">
        <v>56</v>
      </c>
      <c r="W3">
        <v>2</v>
      </c>
      <c r="X3">
        <v>72</v>
      </c>
      <c r="Y3" t="s">
        <v>57</v>
      </c>
      <c r="Z3">
        <v>10.011241999999999</v>
      </c>
      <c r="AA3">
        <v>76.309843000000001</v>
      </c>
      <c r="AB3" t="s">
        <v>58</v>
      </c>
      <c r="AC3">
        <f t="shared" si="0"/>
        <v>600000</v>
      </c>
      <c r="AD3">
        <f>160*R3</f>
        <v>320000</v>
      </c>
      <c r="AE3">
        <v>0</v>
      </c>
      <c r="AF3">
        <v>0</v>
      </c>
      <c r="AG3">
        <v>0</v>
      </c>
      <c r="AH3" t="s">
        <v>41</v>
      </c>
      <c r="AI3" t="s">
        <v>59</v>
      </c>
      <c r="AJ3">
        <v>2400</v>
      </c>
      <c r="AK3" t="s">
        <v>41</v>
      </c>
      <c r="AL3" t="s">
        <v>60</v>
      </c>
      <c r="AM3">
        <v>1</v>
      </c>
      <c r="AN3">
        <v>0</v>
      </c>
      <c r="AO3">
        <v>1</v>
      </c>
      <c r="AP3">
        <v>1</v>
      </c>
      <c r="AQ3" t="s">
        <v>61</v>
      </c>
      <c r="AR3">
        <v>0</v>
      </c>
      <c r="AS3" t="s">
        <v>48</v>
      </c>
      <c r="AT3" t="s">
        <v>41</v>
      </c>
      <c r="AU3" t="s">
        <v>62</v>
      </c>
      <c r="AV3">
        <v>396</v>
      </c>
      <c r="AW3" t="s">
        <v>51</v>
      </c>
      <c r="AX3" s="5">
        <v>39600</v>
      </c>
      <c r="AY3">
        <v>1100</v>
      </c>
      <c r="AZ3" t="s">
        <v>63</v>
      </c>
      <c r="BA3">
        <v>1</v>
      </c>
      <c r="BB3">
        <v>0</v>
      </c>
      <c r="BC3">
        <v>0</v>
      </c>
      <c r="BD3">
        <v>0</v>
      </c>
      <c r="BE3" t="s">
        <v>64</v>
      </c>
      <c r="BF3" t="s">
        <v>41</v>
      </c>
      <c r="BG3" t="s">
        <v>50</v>
      </c>
      <c r="BI3">
        <v>30000</v>
      </c>
      <c r="BJ3" t="s">
        <v>65</v>
      </c>
      <c r="BK3" s="1">
        <f t="shared" si="1"/>
        <v>1.3976240391334731</v>
      </c>
      <c r="BL3" s="2">
        <f t="shared" ref="BL3:BL20" si="9">(BK3-MIN($BK$2:$BK$20))/(MAX($BK$2:$BK$20)-MIN($BK$2:$BK$20))*100</f>
        <v>91.917225538483152</v>
      </c>
      <c r="BM3" s="6">
        <f t="shared" si="2"/>
        <v>3300</v>
      </c>
      <c r="BN3" s="1">
        <f t="shared" ref="BN3:BN13" si="10">(1-(BM3-MIN($BM$2:$BM$20))/(MAX($BM$2:$BM$20)-MIN($BM$2:$BM$20)))*100</f>
        <v>49.745834880076842</v>
      </c>
      <c r="BO3" s="1">
        <v>1100</v>
      </c>
      <c r="BP3" s="1">
        <f t="shared" ref="BP3:BP20" si="11">(BO3 - MIN($BO$2:$BO$20)) / (MAX($BO$2:$BO$20) - MIN($BO$2:$BO$20))*100</f>
        <v>18.142332108252589</v>
      </c>
      <c r="BQ3" s="1">
        <f t="shared" ref="BQ3:BQ20" si="12">AVERAGE(BP3,BN3,BL3)</f>
        <v>53.268464175604187</v>
      </c>
      <c r="BR3" s="2">
        <v>2</v>
      </c>
      <c r="BS3" s="2">
        <f t="shared" ref="BS3:BS20" si="13">IF(BR3&lt;=8,100,(BR3-8)*10)</f>
        <v>100</v>
      </c>
      <c r="BT3" s="2">
        <f t="shared" si="3"/>
        <v>1000</v>
      </c>
      <c r="BU3" s="2">
        <f t="shared" si="4"/>
        <v>500</v>
      </c>
      <c r="BV3" s="2">
        <f t="shared" ref="BV3:BV20" si="14">(BU3-MIN($BU$2:$BU$20))/(MAX($BU$2:$BU$20)-MIN($BU$2:$BU$20))*100</f>
        <v>100</v>
      </c>
      <c r="BW3" s="2">
        <v>1</v>
      </c>
      <c r="BX3" s="2">
        <v>0</v>
      </c>
      <c r="BY3" s="2">
        <v>1</v>
      </c>
      <c r="BZ3" s="2">
        <v>1</v>
      </c>
      <c r="CA3" s="2">
        <v>1</v>
      </c>
      <c r="CB3" s="2">
        <v>1</v>
      </c>
      <c r="CC3" s="2">
        <f t="shared" ref="CC3:CC20" si="15">(SUM(BW3:CB3)/6)*100</f>
        <v>83.333333333333343</v>
      </c>
      <c r="CD3" s="2">
        <f t="shared" ref="CD3:CD20" si="16">((BV3*0.5)+(CC3*0.35)+(BS3*0.15))</f>
        <v>94.166666666666671</v>
      </c>
      <c r="CE3" s="2">
        <v>11</v>
      </c>
      <c r="CF3" s="2">
        <v>12</v>
      </c>
      <c r="CG3" s="2">
        <f t="shared" ref="CG3:CG20" si="17">(11*(0.72*AX3))+(12*(0.28*AX3))</f>
        <v>446688</v>
      </c>
      <c r="CH3" s="2">
        <f>11*(0.74*AX3)</f>
        <v>322344</v>
      </c>
      <c r="CI3" s="2">
        <f t="shared" ref="CI3:CI20" si="18">CG3-CH3</f>
        <v>124344</v>
      </c>
      <c r="CJ3" s="2">
        <f t="shared" si="5"/>
        <v>320000</v>
      </c>
      <c r="CK3" s="2">
        <f t="shared" ref="CK3:CK20" si="19">CJ3+CG3</f>
        <v>766688</v>
      </c>
      <c r="CL3" s="7">
        <f t="shared" ref="CL3:CL20" si="20">CJ3/CK3</f>
        <v>0.4173796903042698</v>
      </c>
      <c r="CM3">
        <f t="shared" ref="CM3:CM20" si="21">CG3-CJ3</f>
        <v>126688</v>
      </c>
      <c r="CN3">
        <f t="shared" si="6"/>
        <v>141768</v>
      </c>
      <c r="CO3">
        <v>14</v>
      </c>
      <c r="CP3">
        <f t="shared" ref="CP3:CP20" si="22">(1-(CO3-MIN($CO$2:$CO$20))/(MAX($CO$2:$CO$20)-MIN($CO$2:$CO$20)))*100</f>
        <v>73.298429319371735</v>
      </c>
      <c r="CQ3">
        <v>2.2999999999999998</v>
      </c>
      <c r="CR3">
        <f t="shared" ref="CR3:CR20" si="23">(1-(CQ3-MIN($CQ$2:$CQ$20))/(MAX($CQ$2:$CQ$20)-MIN($CQ$2:$CQ$20)))*100</f>
        <v>74.285714285714292</v>
      </c>
      <c r="CS3">
        <f t="shared" ref="CS3:CS20" si="24">AVERAGE(CR3,CP3)</f>
        <v>73.792071802543006</v>
      </c>
      <c r="CT3" t="s">
        <v>41</v>
      </c>
      <c r="CU3" t="s">
        <v>41</v>
      </c>
    </row>
    <row r="4" spans="1:99" x14ac:dyDescent="0.25">
      <c r="A4">
        <v>41</v>
      </c>
      <c r="B4" t="s">
        <v>249</v>
      </c>
      <c r="C4">
        <v>11745</v>
      </c>
      <c r="D4">
        <f t="shared" si="7"/>
        <v>2913</v>
      </c>
      <c r="E4" t="s">
        <v>41</v>
      </c>
      <c r="F4">
        <v>1</v>
      </c>
      <c r="G4">
        <v>7</v>
      </c>
      <c r="H4">
        <v>4</v>
      </c>
      <c r="I4">
        <v>3</v>
      </c>
      <c r="J4" s="3">
        <f t="shared" si="8"/>
        <v>0.42857142857142855</v>
      </c>
      <c r="K4">
        <v>3</v>
      </c>
      <c r="L4">
        <v>1</v>
      </c>
      <c r="M4">
        <v>3</v>
      </c>
      <c r="N4" t="s">
        <v>66</v>
      </c>
      <c r="O4">
        <v>2023</v>
      </c>
      <c r="P4">
        <v>0</v>
      </c>
      <c r="Q4">
        <v>7</v>
      </c>
      <c r="R4">
        <v>2000</v>
      </c>
      <c r="S4" s="4">
        <f t="shared" ref="S3:S20" si="25">R4/D4</f>
        <v>0.68657741160315822</v>
      </c>
      <c r="T4">
        <v>0</v>
      </c>
      <c r="U4" t="s">
        <v>43</v>
      </c>
      <c r="V4" t="s">
        <v>56</v>
      </c>
      <c r="W4">
        <v>2</v>
      </c>
      <c r="X4">
        <v>42</v>
      </c>
      <c r="Y4" t="s">
        <v>57</v>
      </c>
      <c r="Z4">
        <v>10.011264000000001</v>
      </c>
      <c r="AA4">
        <v>76.309867999999994</v>
      </c>
      <c r="AB4" t="s">
        <v>58</v>
      </c>
      <c r="AC4">
        <f t="shared" si="0"/>
        <v>600000</v>
      </c>
      <c r="AD4">
        <f>165*R4</f>
        <v>330000</v>
      </c>
      <c r="AE4">
        <v>0</v>
      </c>
      <c r="AF4">
        <v>0</v>
      </c>
      <c r="AG4">
        <v>0</v>
      </c>
      <c r="AH4" t="s">
        <v>41</v>
      </c>
      <c r="AI4" t="s">
        <v>67</v>
      </c>
      <c r="AJ4">
        <v>200</v>
      </c>
      <c r="AK4" t="s">
        <v>50</v>
      </c>
      <c r="AL4" t="s">
        <v>60</v>
      </c>
      <c r="AM4">
        <v>1</v>
      </c>
      <c r="AN4">
        <v>0</v>
      </c>
      <c r="AO4">
        <v>1</v>
      </c>
      <c r="AP4">
        <v>1</v>
      </c>
      <c r="AQ4" t="s">
        <v>61</v>
      </c>
      <c r="AR4">
        <v>0</v>
      </c>
      <c r="AS4" t="s">
        <v>48</v>
      </c>
      <c r="AT4" t="s">
        <v>41</v>
      </c>
      <c r="AU4" t="s">
        <v>62</v>
      </c>
      <c r="AV4">
        <v>396</v>
      </c>
      <c r="AW4" t="s">
        <v>51</v>
      </c>
      <c r="AX4" s="5">
        <v>41702.219999999994</v>
      </c>
      <c r="AY4">
        <v>1100</v>
      </c>
      <c r="AZ4" t="s">
        <v>63</v>
      </c>
      <c r="BA4">
        <v>1</v>
      </c>
      <c r="BB4">
        <v>0</v>
      </c>
      <c r="BC4">
        <v>0</v>
      </c>
      <c r="BD4">
        <v>0</v>
      </c>
      <c r="BE4" t="s">
        <v>64</v>
      </c>
      <c r="BF4" t="s">
        <v>41</v>
      </c>
      <c r="BG4" t="s">
        <v>50</v>
      </c>
      <c r="BI4">
        <v>30000</v>
      </c>
      <c r="BJ4" t="s">
        <v>65</v>
      </c>
      <c r="BK4" s="1">
        <f t="shared" si="1"/>
        <v>0.68657741160315822</v>
      </c>
      <c r="BL4" s="2">
        <f t="shared" si="9"/>
        <v>32.004404263381879</v>
      </c>
      <c r="BM4" s="6">
        <f t="shared" si="2"/>
        <v>5957.4599999999991</v>
      </c>
      <c r="BN4" s="1">
        <f t="shared" si="10"/>
        <v>0</v>
      </c>
      <c r="BO4" s="1">
        <v>1100</v>
      </c>
      <c r="BP4" s="1">
        <f t="shared" si="11"/>
        <v>18.142332108252589</v>
      </c>
      <c r="BQ4" s="1">
        <f t="shared" si="12"/>
        <v>16.715578790544821</v>
      </c>
      <c r="BR4" s="2">
        <v>2</v>
      </c>
      <c r="BS4" s="2">
        <f t="shared" si="13"/>
        <v>100</v>
      </c>
      <c r="BT4" s="2">
        <f t="shared" si="3"/>
        <v>1000</v>
      </c>
      <c r="BU4" s="2">
        <f t="shared" si="4"/>
        <v>500</v>
      </c>
      <c r="BV4" s="2">
        <f t="shared" si="14"/>
        <v>100</v>
      </c>
      <c r="BW4" s="2">
        <v>1</v>
      </c>
      <c r="BX4" s="2">
        <v>0</v>
      </c>
      <c r="BY4" s="2">
        <v>1</v>
      </c>
      <c r="BZ4" s="2">
        <v>1</v>
      </c>
      <c r="CA4" s="2">
        <v>1</v>
      </c>
      <c r="CB4" s="2">
        <v>1</v>
      </c>
      <c r="CC4" s="2">
        <f t="shared" si="15"/>
        <v>83.333333333333343</v>
      </c>
      <c r="CD4" s="2">
        <f t="shared" si="16"/>
        <v>94.166666666666671</v>
      </c>
      <c r="CE4" s="2">
        <v>11</v>
      </c>
      <c r="CF4" s="2">
        <v>12</v>
      </c>
      <c r="CG4" s="2">
        <f t="shared" si="17"/>
        <v>470401.04159999994</v>
      </c>
      <c r="CH4" s="2">
        <f>11*(0.65*AX4)</f>
        <v>298170.87299999996</v>
      </c>
      <c r="CI4" s="2">
        <f t="shared" si="18"/>
        <v>172230.16859999998</v>
      </c>
      <c r="CJ4" s="2">
        <f t="shared" si="5"/>
        <v>330000</v>
      </c>
      <c r="CK4" s="2">
        <f t="shared" si="19"/>
        <v>800401.04159999988</v>
      </c>
      <c r="CL4" s="7">
        <f t="shared" si="20"/>
        <v>0.41229331653583401</v>
      </c>
      <c r="CM4">
        <f t="shared" si="21"/>
        <v>140401.04159999994</v>
      </c>
      <c r="CN4">
        <f t="shared" si="6"/>
        <v>149293.94759999998</v>
      </c>
      <c r="CO4">
        <v>8.9</v>
      </c>
      <c r="CP4">
        <f t="shared" si="22"/>
        <v>100</v>
      </c>
      <c r="CQ4">
        <v>2.9</v>
      </c>
      <c r="CR4">
        <f t="shared" si="23"/>
        <v>65.714285714285708</v>
      </c>
      <c r="CS4">
        <f t="shared" si="24"/>
        <v>82.857142857142861</v>
      </c>
      <c r="CT4" t="s">
        <v>41</v>
      </c>
      <c r="CU4" t="s">
        <v>41</v>
      </c>
    </row>
    <row r="5" spans="1:99" x14ac:dyDescent="0.25">
      <c r="A5">
        <v>63</v>
      </c>
      <c r="B5" t="s">
        <v>250</v>
      </c>
      <c r="C5">
        <v>7887</v>
      </c>
      <c r="D5">
        <f t="shared" si="7"/>
        <v>1956</v>
      </c>
      <c r="E5" t="s">
        <v>41</v>
      </c>
      <c r="F5">
        <v>1</v>
      </c>
      <c r="G5">
        <v>13</v>
      </c>
      <c r="H5">
        <v>8</v>
      </c>
      <c r="I5">
        <v>5</v>
      </c>
      <c r="J5" s="3">
        <f t="shared" si="8"/>
        <v>0.38461538461538464</v>
      </c>
      <c r="N5" t="s">
        <v>68</v>
      </c>
      <c r="O5">
        <v>2023</v>
      </c>
      <c r="P5">
        <v>6</v>
      </c>
      <c r="Q5">
        <v>13</v>
      </c>
      <c r="R5">
        <v>600</v>
      </c>
      <c r="S5" s="4">
        <f t="shared" si="25"/>
        <v>0.30674846625766872</v>
      </c>
      <c r="T5">
        <v>0</v>
      </c>
      <c r="U5" t="s">
        <v>69</v>
      </c>
      <c r="V5" t="s">
        <v>70</v>
      </c>
      <c r="W5">
        <v>6</v>
      </c>
      <c r="X5">
        <v>25</v>
      </c>
      <c r="Y5" t="s">
        <v>45</v>
      </c>
      <c r="AB5" t="s">
        <v>71</v>
      </c>
      <c r="AC5">
        <f t="shared" si="0"/>
        <v>180000</v>
      </c>
      <c r="AD5">
        <f>157*R5</f>
        <v>94200</v>
      </c>
      <c r="AE5">
        <v>20000</v>
      </c>
      <c r="AF5">
        <v>0</v>
      </c>
      <c r="AG5">
        <v>0</v>
      </c>
      <c r="AH5" t="s">
        <v>50</v>
      </c>
      <c r="AJ5">
        <v>600</v>
      </c>
      <c r="AK5" t="s">
        <v>41</v>
      </c>
      <c r="AL5" t="s">
        <v>18</v>
      </c>
      <c r="AM5">
        <v>0</v>
      </c>
      <c r="AN5">
        <v>0</v>
      </c>
      <c r="AO5">
        <v>1</v>
      </c>
      <c r="AP5">
        <v>0</v>
      </c>
      <c r="AR5">
        <v>40</v>
      </c>
      <c r="AS5" t="s">
        <v>72</v>
      </c>
      <c r="AT5" t="s">
        <v>41</v>
      </c>
      <c r="AU5" t="s">
        <v>73</v>
      </c>
      <c r="AV5">
        <v>80</v>
      </c>
      <c r="AW5" t="s">
        <v>51</v>
      </c>
      <c r="AX5" s="5">
        <v>8000</v>
      </c>
      <c r="AY5">
        <v>1200</v>
      </c>
      <c r="AZ5" t="s">
        <v>63</v>
      </c>
      <c r="BA5">
        <v>1</v>
      </c>
      <c r="BB5">
        <v>0</v>
      </c>
      <c r="BC5">
        <v>0</v>
      </c>
      <c r="BD5">
        <v>0</v>
      </c>
      <c r="BE5" t="s">
        <v>64</v>
      </c>
      <c r="BF5" t="s">
        <v>50</v>
      </c>
      <c r="BG5" t="s">
        <v>41</v>
      </c>
      <c r="BH5" t="s">
        <v>74</v>
      </c>
      <c r="BI5">
        <v>9000</v>
      </c>
      <c r="BJ5" t="s">
        <v>75</v>
      </c>
      <c r="BK5" s="1">
        <f t="shared" si="1"/>
        <v>0.30674846625766872</v>
      </c>
      <c r="BL5" s="2">
        <f t="shared" si="9"/>
        <v>0</v>
      </c>
      <c r="BM5" s="6">
        <f t="shared" si="2"/>
        <v>615.38461538461536</v>
      </c>
      <c r="BN5" s="1">
        <f t="shared" si="10"/>
        <v>100</v>
      </c>
      <c r="BO5" s="1">
        <v>1200</v>
      </c>
      <c r="BP5" s="1">
        <f>(BO5 - MIN($BO$2:$BO$20)) / (MAX($BO$2:$BO$20) - MIN($BO$2:$BO$20))*100</f>
        <v>19.812896759104579</v>
      </c>
      <c r="BQ5" s="1">
        <f t="shared" si="12"/>
        <v>39.937632253034856</v>
      </c>
      <c r="BR5" s="2">
        <v>6</v>
      </c>
      <c r="BS5" s="2">
        <f t="shared" si="13"/>
        <v>100</v>
      </c>
      <c r="BT5" s="2">
        <f t="shared" si="3"/>
        <v>300</v>
      </c>
      <c r="BU5" s="2">
        <f t="shared" si="4"/>
        <v>50</v>
      </c>
      <c r="BV5" s="2">
        <f t="shared" si="14"/>
        <v>0.5263157894736854</v>
      </c>
      <c r="BW5" s="2">
        <v>0</v>
      </c>
      <c r="BX5" s="2">
        <v>0</v>
      </c>
      <c r="BY5" s="2">
        <v>1</v>
      </c>
      <c r="BZ5" s="2">
        <v>0</v>
      </c>
      <c r="CA5" s="2">
        <v>0</v>
      </c>
      <c r="CB5" s="2">
        <v>0</v>
      </c>
      <c r="CC5" s="2">
        <f t="shared" si="15"/>
        <v>16.666666666666664</v>
      </c>
      <c r="CD5" s="2">
        <f t="shared" si="16"/>
        <v>21.096491228070175</v>
      </c>
      <c r="CE5" s="2">
        <v>11</v>
      </c>
      <c r="CF5" s="2">
        <v>12</v>
      </c>
      <c r="CG5" s="2">
        <f t="shared" si="17"/>
        <v>90240</v>
      </c>
      <c r="CH5" s="2">
        <f>11*(0.79*AX5)</f>
        <v>69520</v>
      </c>
      <c r="CI5" s="2">
        <f t="shared" si="18"/>
        <v>20720</v>
      </c>
      <c r="CJ5" s="2">
        <f t="shared" si="5"/>
        <v>114200</v>
      </c>
      <c r="CK5" s="2">
        <f t="shared" si="19"/>
        <v>204440</v>
      </c>
      <c r="CL5" s="7">
        <f t="shared" si="20"/>
        <v>0.55859909998043433</v>
      </c>
      <c r="CM5">
        <f t="shared" si="21"/>
        <v>-23960</v>
      </c>
      <c r="CN5">
        <f t="shared" si="6"/>
        <v>28640</v>
      </c>
      <c r="CO5">
        <v>17</v>
      </c>
      <c r="CP5">
        <f t="shared" si="22"/>
        <v>57.591623036649217</v>
      </c>
      <c r="CQ5">
        <v>4.5</v>
      </c>
      <c r="CR5">
        <f t="shared" si="23"/>
        <v>42.857142857142861</v>
      </c>
      <c r="CS5">
        <f t="shared" si="24"/>
        <v>50.224382946896043</v>
      </c>
      <c r="CT5" t="s">
        <v>41</v>
      </c>
      <c r="CU5" t="s">
        <v>50</v>
      </c>
    </row>
    <row r="6" spans="1:99" x14ac:dyDescent="0.25">
      <c r="A6">
        <v>54</v>
      </c>
      <c r="B6" t="s">
        <v>251</v>
      </c>
      <c r="C6">
        <v>6279</v>
      </c>
      <c r="D6">
        <f t="shared" si="7"/>
        <v>1557</v>
      </c>
      <c r="E6" t="s">
        <v>41</v>
      </c>
      <c r="F6">
        <v>1</v>
      </c>
      <c r="G6">
        <v>12</v>
      </c>
      <c r="H6">
        <v>3</v>
      </c>
      <c r="I6">
        <v>9</v>
      </c>
      <c r="J6" s="3">
        <f t="shared" si="8"/>
        <v>0.75</v>
      </c>
      <c r="N6" t="s">
        <v>76</v>
      </c>
      <c r="O6">
        <v>2021</v>
      </c>
      <c r="P6">
        <v>3</v>
      </c>
      <c r="Q6">
        <v>12</v>
      </c>
      <c r="R6">
        <v>1380</v>
      </c>
      <c r="S6" s="4">
        <f t="shared" si="25"/>
        <v>0.88631984585741808</v>
      </c>
      <c r="T6">
        <v>0</v>
      </c>
      <c r="U6" t="s">
        <v>77</v>
      </c>
      <c r="V6" t="s">
        <v>70</v>
      </c>
      <c r="W6">
        <v>5</v>
      </c>
      <c r="X6">
        <v>25</v>
      </c>
      <c r="Y6" t="s">
        <v>45</v>
      </c>
      <c r="AB6" t="s">
        <v>78</v>
      </c>
      <c r="AC6">
        <f t="shared" si="0"/>
        <v>414000</v>
      </c>
      <c r="AD6">
        <f>151*R6</f>
        <v>208380</v>
      </c>
      <c r="AE6">
        <v>40000</v>
      </c>
      <c r="AF6">
        <v>0</v>
      </c>
      <c r="AG6">
        <v>0</v>
      </c>
      <c r="AH6" t="s">
        <v>50</v>
      </c>
      <c r="AJ6">
        <v>1000</v>
      </c>
      <c r="AK6" t="s">
        <v>50</v>
      </c>
      <c r="AL6" t="s">
        <v>79</v>
      </c>
      <c r="AM6">
        <v>1</v>
      </c>
      <c r="AN6">
        <v>0</v>
      </c>
      <c r="AO6">
        <v>1</v>
      </c>
      <c r="AP6">
        <v>0</v>
      </c>
      <c r="AR6">
        <v>50</v>
      </c>
      <c r="AS6" t="s">
        <v>80</v>
      </c>
      <c r="AT6" t="s">
        <v>41</v>
      </c>
      <c r="AU6" t="s">
        <v>81</v>
      </c>
      <c r="AV6">
        <v>175</v>
      </c>
      <c r="AW6" t="s">
        <v>51</v>
      </c>
      <c r="AX6" s="5">
        <v>17500</v>
      </c>
      <c r="AY6">
        <v>6000</v>
      </c>
      <c r="AZ6" t="s">
        <v>63</v>
      </c>
      <c r="BA6">
        <v>1</v>
      </c>
      <c r="BB6">
        <v>0</v>
      </c>
      <c r="BC6">
        <v>0</v>
      </c>
      <c r="BD6">
        <v>0</v>
      </c>
      <c r="BE6" t="s">
        <v>64</v>
      </c>
      <c r="BF6" t="s">
        <v>50</v>
      </c>
      <c r="BG6" t="s">
        <v>41</v>
      </c>
      <c r="BH6" t="s">
        <v>82</v>
      </c>
      <c r="BI6">
        <v>10000</v>
      </c>
      <c r="BJ6" t="s">
        <v>83</v>
      </c>
      <c r="BK6" s="1">
        <f t="shared" si="1"/>
        <v>0.88631984585741808</v>
      </c>
      <c r="BL6" s="2">
        <f t="shared" si="9"/>
        <v>48.834710886302936</v>
      </c>
      <c r="BM6" s="6">
        <f t="shared" si="2"/>
        <v>1458.3333333333333</v>
      </c>
      <c r="BN6" s="1">
        <f t="shared" si="10"/>
        <v>84.220576138324034</v>
      </c>
      <c r="BO6" s="1">
        <v>6000</v>
      </c>
      <c r="BP6" s="1">
        <f t="shared" si="11"/>
        <v>100</v>
      </c>
      <c r="BQ6" s="1">
        <f t="shared" si="12"/>
        <v>77.685095674875654</v>
      </c>
      <c r="BR6" s="2">
        <v>5</v>
      </c>
      <c r="BS6" s="2">
        <f>IF(BR6&lt;=8,100,(BR6-8)*10)</f>
        <v>100</v>
      </c>
      <c r="BT6" s="2">
        <f t="shared" si="3"/>
        <v>333.33333333333331</v>
      </c>
      <c r="BU6" s="2">
        <f t="shared" si="4"/>
        <v>66.666666666666657</v>
      </c>
      <c r="BV6" s="2">
        <f>(BU6-MIN($BU$2:$BU$20))/(MAX($BU$2:$BU$20)-MIN($BU$2:$BU$20))*100</f>
        <v>4.2105263157894726</v>
      </c>
      <c r="BW6" s="2">
        <v>1</v>
      </c>
      <c r="BX6" s="2">
        <v>0</v>
      </c>
      <c r="BY6" s="2">
        <v>1</v>
      </c>
      <c r="BZ6" s="2">
        <v>0</v>
      </c>
      <c r="CA6" s="2">
        <v>0</v>
      </c>
      <c r="CB6" s="2">
        <v>0</v>
      </c>
      <c r="CC6" s="2">
        <f t="shared" si="15"/>
        <v>33.333333333333329</v>
      </c>
      <c r="CD6" s="2">
        <f>((BV6*0.5)+(CC6*0.35)+(BS6*0.15))</f>
        <v>28.771929824561401</v>
      </c>
      <c r="CE6" s="2">
        <v>11</v>
      </c>
      <c r="CF6" s="2">
        <v>12</v>
      </c>
      <c r="CG6" s="2">
        <f t="shared" si="17"/>
        <v>197400</v>
      </c>
      <c r="CH6" s="2">
        <f>11*(0.73*AX6)</f>
        <v>140525</v>
      </c>
      <c r="CI6" s="2">
        <f t="shared" si="18"/>
        <v>56875</v>
      </c>
      <c r="CJ6" s="2">
        <f t="shared" si="5"/>
        <v>248380</v>
      </c>
      <c r="CK6" s="2">
        <f t="shared" si="19"/>
        <v>445780</v>
      </c>
      <c r="CL6" s="7">
        <f t="shared" si="20"/>
        <v>0.55718067208039845</v>
      </c>
      <c r="CM6">
        <f t="shared" si="21"/>
        <v>-50980</v>
      </c>
      <c r="CN6">
        <f t="shared" si="6"/>
        <v>62650</v>
      </c>
      <c r="CO6">
        <v>16</v>
      </c>
      <c r="CP6">
        <f t="shared" si="22"/>
        <v>62.827225130890049</v>
      </c>
      <c r="CQ6">
        <v>3.7</v>
      </c>
      <c r="CR6">
        <f t="shared" si="23"/>
        <v>54.285714285714285</v>
      </c>
      <c r="CS6">
        <f t="shared" si="24"/>
        <v>58.556469708302167</v>
      </c>
      <c r="CT6" t="s">
        <v>41</v>
      </c>
      <c r="CU6" t="s">
        <v>50</v>
      </c>
    </row>
    <row r="7" spans="1:99" x14ac:dyDescent="0.25">
      <c r="A7">
        <v>37</v>
      </c>
      <c r="B7" t="s">
        <v>252</v>
      </c>
      <c r="C7">
        <v>9183</v>
      </c>
      <c r="D7">
        <f t="shared" si="7"/>
        <v>2277</v>
      </c>
      <c r="E7" t="s">
        <v>41</v>
      </c>
      <c r="F7">
        <v>1</v>
      </c>
      <c r="G7">
        <v>9</v>
      </c>
      <c r="H7">
        <v>6</v>
      </c>
      <c r="I7">
        <v>3</v>
      </c>
      <c r="J7" s="3">
        <f t="shared" si="8"/>
        <v>0.33333333333333331</v>
      </c>
      <c r="K7">
        <v>2</v>
      </c>
      <c r="L7">
        <v>6</v>
      </c>
      <c r="M7">
        <v>1</v>
      </c>
      <c r="N7" t="s">
        <v>84</v>
      </c>
      <c r="O7">
        <v>2001</v>
      </c>
      <c r="P7">
        <v>0</v>
      </c>
      <c r="Q7">
        <v>9</v>
      </c>
      <c r="R7">
        <v>2000</v>
      </c>
      <c r="S7" s="4">
        <f t="shared" si="25"/>
        <v>0.87834870443566093</v>
      </c>
      <c r="T7">
        <v>0</v>
      </c>
      <c r="U7" t="s">
        <v>85</v>
      </c>
      <c r="V7" t="s">
        <v>86</v>
      </c>
      <c r="W7">
        <v>7</v>
      </c>
      <c r="X7">
        <v>24</v>
      </c>
      <c r="Y7" t="s">
        <v>45</v>
      </c>
      <c r="Z7">
        <v>10.009957999999999</v>
      </c>
      <c r="AA7">
        <v>76.308428000000006</v>
      </c>
      <c r="AB7" t="s">
        <v>87</v>
      </c>
      <c r="AC7">
        <f t="shared" si="0"/>
        <v>600000</v>
      </c>
      <c r="AD7">
        <f>154*R7</f>
        <v>308000</v>
      </c>
      <c r="AE7">
        <v>0</v>
      </c>
      <c r="AF7">
        <v>0</v>
      </c>
      <c r="AG7">
        <v>0</v>
      </c>
      <c r="AH7" t="s">
        <v>41</v>
      </c>
      <c r="AI7" t="s">
        <v>88</v>
      </c>
      <c r="AJ7">
        <v>1980</v>
      </c>
      <c r="AK7" t="s">
        <v>50</v>
      </c>
      <c r="AL7" t="s">
        <v>89</v>
      </c>
      <c r="AM7">
        <v>1</v>
      </c>
      <c r="AN7">
        <v>0</v>
      </c>
      <c r="AO7">
        <v>0</v>
      </c>
      <c r="AP7">
        <v>1</v>
      </c>
      <c r="AQ7" t="s">
        <v>90</v>
      </c>
      <c r="AR7">
        <v>50</v>
      </c>
      <c r="AS7" t="s">
        <v>50</v>
      </c>
      <c r="AT7" t="s">
        <v>50</v>
      </c>
      <c r="AV7">
        <v>37000</v>
      </c>
      <c r="AW7" t="s">
        <v>91</v>
      </c>
      <c r="AX7" s="5">
        <v>37000</v>
      </c>
      <c r="AY7">
        <v>1000</v>
      </c>
      <c r="AZ7" t="s">
        <v>92</v>
      </c>
      <c r="BA7">
        <v>1</v>
      </c>
      <c r="BB7">
        <v>0</v>
      </c>
      <c r="BC7">
        <v>1</v>
      </c>
      <c r="BD7">
        <v>0</v>
      </c>
      <c r="BE7" t="s">
        <v>93</v>
      </c>
      <c r="BF7" t="s">
        <v>41</v>
      </c>
      <c r="BG7" t="s">
        <v>50</v>
      </c>
      <c r="BI7">
        <v>20000</v>
      </c>
      <c r="BJ7" t="s">
        <v>94</v>
      </c>
      <c r="BK7" s="1">
        <f t="shared" si="1"/>
        <v>0.87834870443566093</v>
      </c>
      <c r="BL7" s="2">
        <f t="shared" si="9"/>
        <v>48.163062146445952</v>
      </c>
      <c r="BM7" s="6">
        <f t="shared" si="2"/>
        <v>4111.1111111111113</v>
      </c>
      <c r="BN7" s="1">
        <f t="shared" si="10"/>
        <v>34.562389258043389</v>
      </c>
      <c r="BO7" s="1">
        <v>1000</v>
      </c>
      <c r="BP7" s="1">
        <f t="shared" si="11"/>
        <v>16.471767457400603</v>
      </c>
      <c r="BQ7" s="1">
        <f t="shared" si="12"/>
        <v>33.065739620629984</v>
      </c>
      <c r="BR7" s="2">
        <v>7</v>
      </c>
      <c r="BS7" s="2">
        <f t="shared" si="13"/>
        <v>100</v>
      </c>
      <c r="BT7" s="2">
        <f t="shared" si="3"/>
        <v>666.66666666666663</v>
      </c>
      <c r="BU7" s="2">
        <f t="shared" si="4"/>
        <v>95.238095238095227</v>
      </c>
      <c r="BV7" s="2">
        <f t="shared" si="14"/>
        <v>10.526315789473681</v>
      </c>
      <c r="BW7" s="2">
        <v>1</v>
      </c>
      <c r="BX7" s="2">
        <v>0</v>
      </c>
      <c r="BY7" s="2">
        <v>0</v>
      </c>
      <c r="BZ7" s="2">
        <v>0</v>
      </c>
      <c r="CA7" s="2">
        <v>0</v>
      </c>
      <c r="CB7" s="2">
        <v>1</v>
      </c>
      <c r="CC7" s="2">
        <f t="shared" si="15"/>
        <v>33.333333333333329</v>
      </c>
      <c r="CD7" s="2">
        <f t="shared" si="16"/>
        <v>31.929824561403507</v>
      </c>
      <c r="CE7" s="2">
        <v>11</v>
      </c>
      <c r="CF7" s="2">
        <v>12</v>
      </c>
      <c r="CG7" s="2">
        <f t="shared" si="17"/>
        <v>417360</v>
      </c>
      <c r="CH7" s="2">
        <f>11*(0.66*AX7)</f>
        <v>268620</v>
      </c>
      <c r="CI7" s="2">
        <f t="shared" si="18"/>
        <v>148740</v>
      </c>
      <c r="CJ7" s="2">
        <f t="shared" si="5"/>
        <v>308000</v>
      </c>
      <c r="CK7" s="2">
        <f t="shared" si="19"/>
        <v>725360</v>
      </c>
      <c r="CL7" s="7">
        <f t="shared" si="20"/>
        <v>0.42461674203154298</v>
      </c>
      <c r="CM7">
        <f t="shared" si="21"/>
        <v>109360</v>
      </c>
      <c r="CN7">
        <f t="shared" si="6"/>
        <v>132460</v>
      </c>
      <c r="CO7">
        <v>11</v>
      </c>
      <c r="CP7">
        <f t="shared" si="22"/>
        <v>89.005235602094245</v>
      </c>
      <c r="CQ7">
        <v>3.4</v>
      </c>
      <c r="CR7">
        <f t="shared" si="23"/>
        <v>58.571428571428577</v>
      </c>
      <c r="CS7">
        <f t="shared" si="24"/>
        <v>73.788332086761415</v>
      </c>
      <c r="CT7" t="s">
        <v>41</v>
      </c>
      <c r="CU7" t="s">
        <v>41</v>
      </c>
    </row>
    <row r="8" spans="1:99" x14ac:dyDescent="0.25">
      <c r="A8">
        <v>31</v>
      </c>
      <c r="B8" t="s">
        <v>253</v>
      </c>
      <c r="C8">
        <v>9025</v>
      </c>
      <c r="D8">
        <f t="shared" si="7"/>
        <v>2238</v>
      </c>
      <c r="E8" t="s">
        <v>41</v>
      </c>
      <c r="F8">
        <v>1</v>
      </c>
      <c r="G8">
        <v>11</v>
      </c>
      <c r="H8">
        <v>6</v>
      </c>
      <c r="I8">
        <v>5</v>
      </c>
      <c r="J8" s="3">
        <f t="shared" si="8"/>
        <v>0.45454545454545453</v>
      </c>
      <c r="N8" t="s">
        <v>95</v>
      </c>
      <c r="O8">
        <v>2022</v>
      </c>
      <c r="P8">
        <v>3</v>
      </c>
      <c r="Q8">
        <v>9</v>
      </c>
      <c r="R8">
        <v>2200</v>
      </c>
      <c r="S8" s="4">
        <f t="shared" si="25"/>
        <v>0.98302055406613043</v>
      </c>
      <c r="T8">
        <v>0</v>
      </c>
      <c r="U8" t="s">
        <v>43</v>
      </c>
      <c r="V8" t="s">
        <v>44</v>
      </c>
      <c r="W8">
        <v>6</v>
      </c>
      <c r="X8">
        <v>15</v>
      </c>
      <c r="Y8" t="s">
        <v>45</v>
      </c>
      <c r="Z8">
        <v>10.024839999999999</v>
      </c>
      <c r="AA8">
        <v>76.274128000000005</v>
      </c>
      <c r="AB8" t="s">
        <v>96</v>
      </c>
      <c r="AC8">
        <f t="shared" si="0"/>
        <v>660000</v>
      </c>
      <c r="AD8">
        <f>157*R8</f>
        <v>345400</v>
      </c>
      <c r="AE8">
        <v>0</v>
      </c>
      <c r="AF8">
        <v>0</v>
      </c>
      <c r="AG8">
        <v>1200</v>
      </c>
      <c r="AH8" t="s">
        <v>41</v>
      </c>
      <c r="AI8" t="s">
        <v>97</v>
      </c>
      <c r="AJ8">
        <v>1100</v>
      </c>
      <c r="AK8" t="s">
        <v>98</v>
      </c>
      <c r="AL8" t="s">
        <v>49</v>
      </c>
      <c r="AM8">
        <v>1</v>
      </c>
      <c r="AN8">
        <v>1</v>
      </c>
      <c r="AO8">
        <v>1</v>
      </c>
      <c r="AP8">
        <v>1</v>
      </c>
      <c r="AQ8" t="s">
        <v>99</v>
      </c>
      <c r="AR8">
        <v>200</v>
      </c>
      <c r="AS8" t="s">
        <v>100</v>
      </c>
      <c r="AT8" t="s">
        <v>41</v>
      </c>
      <c r="AU8" t="s">
        <v>101</v>
      </c>
      <c r="AV8">
        <v>20</v>
      </c>
      <c r="AW8" t="s">
        <v>51</v>
      </c>
      <c r="AX8" s="5">
        <v>28000</v>
      </c>
      <c r="AY8">
        <v>630</v>
      </c>
      <c r="AZ8" t="s">
        <v>48</v>
      </c>
      <c r="BA8">
        <v>0</v>
      </c>
      <c r="BB8">
        <v>0</v>
      </c>
      <c r="BC8">
        <v>0</v>
      </c>
      <c r="BD8">
        <v>1</v>
      </c>
      <c r="BE8" t="s">
        <v>102</v>
      </c>
      <c r="BF8" t="s">
        <v>50</v>
      </c>
      <c r="BG8" t="s">
        <v>41</v>
      </c>
      <c r="BH8" t="s">
        <v>103</v>
      </c>
      <c r="BI8">
        <v>35000</v>
      </c>
      <c r="BJ8" t="s">
        <v>104</v>
      </c>
      <c r="BK8" s="1">
        <f t="shared" si="1"/>
        <v>0.98302055406613043</v>
      </c>
      <c r="BL8" s="2">
        <f t="shared" si="9"/>
        <v>56.982716971652515</v>
      </c>
      <c r="BM8" s="6">
        <f t="shared" si="2"/>
        <v>2545.4545454545455</v>
      </c>
      <c r="BN8" s="1">
        <f t="shared" si="10"/>
        <v>63.870410072678332</v>
      </c>
      <c r="BO8" s="1">
        <v>630</v>
      </c>
      <c r="BP8" s="1">
        <f t="shared" si="11"/>
        <v>10.290678249248247</v>
      </c>
      <c r="BQ8" s="1">
        <f t="shared" si="12"/>
        <v>43.714601764526371</v>
      </c>
      <c r="BR8" s="2">
        <v>6</v>
      </c>
      <c r="BS8" s="2">
        <f t="shared" si="13"/>
        <v>100</v>
      </c>
      <c r="BT8" s="2">
        <f t="shared" si="3"/>
        <v>1166.6666666666667</v>
      </c>
      <c r="BU8" s="2">
        <f t="shared" si="4"/>
        <v>194.44444444444446</v>
      </c>
      <c r="BV8" s="2">
        <f t="shared" si="14"/>
        <v>32.456140350877192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f t="shared" si="15"/>
        <v>100</v>
      </c>
      <c r="CD8" s="2">
        <f t="shared" si="16"/>
        <v>66.228070175438603</v>
      </c>
      <c r="CE8" s="2">
        <v>11</v>
      </c>
      <c r="CF8" s="2">
        <v>12</v>
      </c>
      <c r="CG8" s="2">
        <f t="shared" si="17"/>
        <v>315840</v>
      </c>
      <c r="CH8" s="2">
        <f>11*(0.69*AX8)</f>
        <v>212520</v>
      </c>
      <c r="CI8" s="2">
        <f t="shared" si="18"/>
        <v>103320</v>
      </c>
      <c r="CJ8" s="2">
        <f t="shared" si="5"/>
        <v>345400</v>
      </c>
      <c r="CK8" s="2">
        <f t="shared" si="19"/>
        <v>661240</v>
      </c>
      <c r="CL8" s="7">
        <f t="shared" si="20"/>
        <v>0.52235194483092373</v>
      </c>
      <c r="CM8">
        <f t="shared" si="21"/>
        <v>-29560</v>
      </c>
      <c r="CN8">
        <f t="shared" si="6"/>
        <v>100240</v>
      </c>
      <c r="CO8">
        <v>16</v>
      </c>
      <c r="CP8">
        <f t="shared" si="22"/>
        <v>62.827225130890049</v>
      </c>
      <c r="CQ8">
        <v>7.5</v>
      </c>
      <c r="CR8">
        <f t="shared" si="23"/>
        <v>0</v>
      </c>
      <c r="CS8">
        <f t="shared" si="24"/>
        <v>31.413612565445025</v>
      </c>
      <c r="CT8" t="s">
        <v>41</v>
      </c>
      <c r="CU8" t="s">
        <v>50</v>
      </c>
    </row>
    <row r="9" spans="1:99" x14ac:dyDescent="0.25">
      <c r="A9">
        <v>1</v>
      </c>
      <c r="B9" t="s">
        <v>254</v>
      </c>
      <c r="C9">
        <v>10279</v>
      </c>
      <c r="D9">
        <f t="shared" si="7"/>
        <v>2549</v>
      </c>
      <c r="E9" t="s">
        <v>41</v>
      </c>
      <c r="F9">
        <v>1</v>
      </c>
      <c r="G9">
        <v>13</v>
      </c>
      <c r="H9">
        <v>5</v>
      </c>
      <c r="I9">
        <v>8</v>
      </c>
      <c r="J9" s="3">
        <f t="shared" si="8"/>
        <v>0.61538461538461542</v>
      </c>
      <c r="K9">
        <v>4</v>
      </c>
      <c r="L9">
        <v>9</v>
      </c>
      <c r="M9">
        <v>0</v>
      </c>
      <c r="N9" t="s">
        <v>105</v>
      </c>
      <c r="O9">
        <v>2020</v>
      </c>
      <c r="P9">
        <v>13</v>
      </c>
      <c r="Q9">
        <v>10</v>
      </c>
      <c r="R9">
        <v>1300</v>
      </c>
      <c r="S9" s="4">
        <f t="shared" si="25"/>
        <v>0.51000392310710085</v>
      </c>
      <c r="T9">
        <v>0</v>
      </c>
      <c r="U9" t="s">
        <v>56</v>
      </c>
      <c r="V9" t="s">
        <v>106</v>
      </c>
      <c r="W9">
        <v>6</v>
      </c>
      <c r="X9">
        <v>26</v>
      </c>
      <c r="Y9" t="s">
        <v>45</v>
      </c>
      <c r="Z9">
        <v>9.9682329999999997</v>
      </c>
      <c r="AA9">
        <v>76.243972999999997</v>
      </c>
      <c r="AB9" t="s">
        <v>107</v>
      </c>
      <c r="AC9">
        <f t="shared" si="0"/>
        <v>390000</v>
      </c>
      <c r="AD9">
        <f>152*R9</f>
        <v>197600</v>
      </c>
      <c r="AE9">
        <v>0</v>
      </c>
      <c r="AF9">
        <v>0</v>
      </c>
      <c r="AG9">
        <v>0</v>
      </c>
      <c r="AH9" t="s">
        <v>41</v>
      </c>
      <c r="AI9" t="s">
        <v>108</v>
      </c>
      <c r="AJ9">
        <v>1300</v>
      </c>
      <c r="AK9" t="s">
        <v>50</v>
      </c>
      <c r="AL9" t="s">
        <v>109</v>
      </c>
      <c r="AM9">
        <v>1</v>
      </c>
      <c r="AN9">
        <v>1</v>
      </c>
      <c r="AO9">
        <v>1</v>
      </c>
      <c r="AP9">
        <v>0</v>
      </c>
      <c r="AR9">
        <v>200</v>
      </c>
      <c r="AS9" t="s">
        <v>72</v>
      </c>
      <c r="AT9" t="s">
        <v>41</v>
      </c>
      <c r="AU9" t="s">
        <v>110</v>
      </c>
      <c r="AV9">
        <v>100</v>
      </c>
      <c r="AW9" t="s">
        <v>51</v>
      </c>
      <c r="AX9" s="5">
        <v>10000</v>
      </c>
      <c r="AY9">
        <v>300</v>
      </c>
      <c r="AZ9" t="s">
        <v>111</v>
      </c>
      <c r="BA9">
        <v>1</v>
      </c>
      <c r="BB9">
        <v>1</v>
      </c>
      <c r="BC9">
        <v>0</v>
      </c>
      <c r="BD9">
        <v>0</v>
      </c>
      <c r="BE9" t="s">
        <v>112</v>
      </c>
      <c r="BF9" t="s">
        <v>41</v>
      </c>
      <c r="BG9" t="s">
        <v>50</v>
      </c>
      <c r="BI9">
        <v>15000</v>
      </c>
      <c r="BJ9" t="s">
        <v>113</v>
      </c>
      <c r="BK9" s="1">
        <f t="shared" si="1"/>
        <v>0.51000392310710085</v>
      </c>
      <c r="BL9" s="2">
        <f t="shared" si="9"/>
        <v>17.126314067061521</v>
      </c>
      <c r="BM9" s="6">
        <f t="shared" si="2"/>
        <v>769.23076923076928</v>
      </c>
      <c r="BN9" s="1">
        <f t="shared" si="10"/>
        <v>97.120105150720732</v>
      </c>
      <c r="BO9" s="1">
        <v>300</v>
      </c>
      <c r="BP9" s="1">
        <f t="shared" si="11"/>
        <v>4.7778149014366855</v>
      </c>
      <c r="BQ9" s="1">
        <f t="shared" si="12"/>
        <v>39.674744706406308</v>
      </c>
      <c r="BR9" s="2">
        <v>6</v>
      </c>
      <c r="BS9" s="2">
        <f t="shared" si="13"/>
        <v>100</v>
      </c>
      <c r="BT9" s="2">
        <f t="shared" si="3"/>
        <v>500</v>
      </c>
      <c r="BU9" s="2">
        <f t="shared" si="4"/>
        <v>83.333333333333329</v>
      </c>
      <c r="BV9" s="2">
        <f t="shared" si="14"/>
        <v>7.8947368421052628</v>
      </c>
      <c r="BW9" s="2">
        <v>1</v>
      </c>
      <c r="BX9" s="2">
        <v>1</v>
      </c>
      <c r="BY9" s="2">
        <v>1</v>
      </c>
      <c r="BZ9" s="2">
        <v>0</v>
      </c>
      <c r="CA9" s="2">
        <v>0</v>
      </c>
      <c r="CB9" s="2">
        <v>0</v>
      </c>
      <c r="CC9" s="2">
        <f t="shared" si="15"/>
        <v>50</v>
      </c>
      <c r="CD9" s="2">
        <f t="shared" si="16"/>
        <v>36.44736842105263</v>
      </c>
      <c r="CE9" s="2">
        <v>11</v>
      </c>
      <c r="CF9" s="2">
        <v>12</v>
      </c>
      <c r="CG9" s="2">
        <f t="shared" si="17"/>
        <v>112800</v>
      </c>
      <c r="CH9" s="2">
        <f>11*(0.71*AX9)</f>
        <v>78100</v>
      </c>
      <c r="CI9" s="2">
        <f t="shared" si="18"/>
        <v>34700</v>
      </c>
      <c r="CJ9" s="2">
        <f t="shared" si="5"/>
        <v>197600</v>
      </c>
      <c r="CK9" s="2">
        <f t="shared" si="19"/>
        <v>310400</v>
      </c>
      <c r="CL9" s="7">
        <f t="shared" si="20"/>
        <v>0.63659793814432986</v>
      </c>
      <c r="CM9">
        <f t="shared" si="21"/>
        <v>-84800</v>
      </c>
      <c r="CN9">
        <f t="shared" si="6"/>
        <v>35800</v>
      </c>
      <c r="CO9">
        <v>28</v>
      </c>
      <c r="CP9">
        <f t="shared" si="22"/>
        <v>0</v>
      </c>
      <c r="CQ9">
        <v>2</v>
      </c>
      <c r="CR9">
        <f t="shared" si="23"/>
        <v>78.571428571428569</v>
      </c>
      <c r="CS9">
        <f t="shared" si="24"/>
        <v>39.285714285714285</v>
      </c>
      <c r="CT9" t="s">
        <v>50</v>
      </c>
      <c r="CU9" t="s">
        <v>50</v>
      </c>
    </row>
    <row r="10" spans="1:99" x14ac:dyDescent="0.25">
      <c r="A10">
        <v>60</v>
      </c>
      <c r="B10" t="s">
        <v>255</v>
      </c>
      <c r="C10">
        <v>5941</v>
      </c>
      <c r="D10">
        <f t="shared" si="7"/>
        <v>1473</v>
      </c>
      <c r="E10" t="s">
        <v>41</v>
      </c>
      <c r="F10">
        <v>1</v>
      </c>
      <c r="G10">
        <v>11</v>
      </c>
      <c r="H10">
        <v>9</v>
      </c>
      <c r="I10">
        <v>2</v>
      </c>
      <c r="J10" s="3">
        <f t="shared" si="8"/>
        <v>0.18181818181818182</v>
      </c>
      <c r="N10" t="s">
        <v>66</v>
      </c>
      <c r="O10">
        <v>2009</v>
      </c>
      <c r="P10">
        <v>0</v>
      </c>
      <c r="Q10">
        <v>8</v>
      </c>
      <c r="R10">
        <v>2200</v>
      </c>
      <c r="S10" s="8">
        <v>1</v>
      </c>
      <c r="T10">
        <v>0</v>
      </c>
      <c r="U10" t="s">
        <v>43</v>
      </c>
      <c r="V10" t="s">
        <v>44</v>
      </c>
      <c r="W10">
        <v>6</v>
      </c>
      <c r="X10">
        <v>28</v>
      </c>
      <c r="Y10" t="s">
        <v>45</v>
      </c>
      <c r="Z10">
        <v>9.9488319999999995</v>
      </c>
      <c r="AA10">
        <v>76.296587000000002</v>
      </c>
      <c r="AB10" t="s">
        <v>114</v>
      </c>
      <c r="AC10">
        <f t="shared" si="0"/>
        <v>660000</v>
      </c>
      <c r="AD10">
        <f>159*R10</f>
        <v>349800</v>
      </c>
      <c r="AE10">
        <v>0</v>
      </c>
      <c r="AF10">
        <v>0</v>
      </c>
      <c r="AG10">
        <v>0</v>
      </c>
      <c r="AH10" t="s">
        <v>41</v>
      </c>
      <c r="AI10" t="s">
        <v>116</v>
      </c>
      <c r="AJ10">
        <v>200</v>
      </c>
      <c r="AK10" t="s">
        <v>98</v>
      </c>
      <c r="AL10" t="s">
        <v>79</v>
      </c>
      <c r="AM10">
        <v>1</v>
      </c>
      <c r="AN10">
        <v>0</v>
      </c>
      <c r="AO10">
        <v>1</v>
      </c>
      <c r="AP10">
        <v>0</v>
      </c>
      <c r="AR10">
        <v>110</v>
      </c>
      <c r="AS10" t="s">
        <v>100</v>
      </c>
      <c r="AT10" t="s">
        <v>50</v>
      </c>
      <c r="AV10">
        <v>61000</v>
      </c>
      <c r="AW10" t="s">
        <v>91</v>
      </c>
      <c r="AX10" s="5">
        <v>61000</v>
      </c>
      <c r="AY10">
        <v>200</v>
      </c>
      <c r="AZ10" t="s">
        <v>111</v>
      </c>
      <c r="BA10">
        <v>1</v>
      </c>
      <c r="BB10">
        <v>1</v>
      </c>
      <c r="BC10">
        <v>0</v>
      </c>
      <c r="BD10">
        <v>0</v>
      </c>
      <c r="BE10" t="s">
        <v>117</v>
      </c>
      <c r="BF10" t="s">
        <v>50</v>
      </c>
      <c r="BG10" t="s">
        <v>50</v>
      </c>
      <c r="BI10">
        <v>30000</v>
      </c>
      <c r="BJ10" t="s">
        <v>118</v>
      </c>
      <c r="BK10" s="1">
        <f t="shared" si="1"/>
        <v>1.4935505770536321</v>
      </c>
      <c r="BL10" s="2">
        <f t="shared" si="9"/>
        <v>100</v>
      </c>
      <c r="BM10" s="6">
        <f t="shared" si="2"/>
        <v>5545.454545454545</v>
      </c>
      <c r="BN10" s="1">
        <f t="shared" si="10"/>
        <v>7.712460511732699</v>
      </c>
      <c r="BO10" s="1">
        <v>200</v>
      </c>
      <c r="BP10" s="1">
        <f t="shared" si="11"/>
        <v>3.1072502505846975</v>
      </c>
      <c r="BQ10" s="1">
        <f t="shared" si="12"/>
        <v>36.939903587439133</v>
      </c>
      <c r="BR10" s="2">
        <v>6</v>
      </c>
      <c r="BS10" s="2">
        <f t="shared" si="13"/>
        <v>100</v>
      </c>
      <c r="BT10" s="2">
        <f t="shared" si="3"/>
        <v>1000</v>
      </c>
      <c r="BU10" s="2">
        <f t="shared" si="4"/>
        <v>166.66666666666666</v>
      </c>
      <c r="BV10" s="2">
        <f t="shared" si="14"/>
        <v>26.315789473684209</v>
      </c>
      <c r="BW10" s="2">
        <v>1</v>
      </c>
      <c r="BX10" s="2">
        <v>0</v>
      </c>
      <c r="BY10" s="2">
        <v>1</v>
      </c>
      <c r="BZ10" s="2">
        <v>0</v>
      </c>
      <c r="CA10" s="2">
        <v>0</v>
      </c>
      <c r="CB10" s="2">
        <v>0</v>
      </c>
      <c r="CC10" s="2">
        <f t="shared" si="15"/>
        <v>33.333333333333329</v>
      </c>
      <c r="CD10" s="2">
        <f t="shared" si="16"/>
        <v>39.824561403508767</v>
      </c>
      <c r="CE10" s="2">
        <v>11</v>
      </c>
      <c r="CF10" s="2">
        <v>12</v>
      </c>
      <c r="CG10" s="2">
        <f t="shared" si="17"/>
        <v>688080</v>
      </c>
      <c r="CH10" s="2">
        <f>11*(0.79*AX10)</f>
        <v>530090</v>
      </c>
      <c r="CI10" s="2">
        <f t="shared" si="18"/>
        <v>157990</v>
      </c>
      <c r="CJ10" s="2">
        <f t="shared" si="5"/>
        <v>349800</v>
      </c>
      <c r="CK10" s="2">
        <f t="shared" si="19"/>
        <v>1037880</v>
      </c>
      <c r="CL10" s="7">
        <f t="shared" si="20"/>
        <v>0.33703318302693952</v>
      </c>
      <c r="CM10">
        <f t="shared" si="21"/>
        <v>338280</v>
      </c>
      <c r="CN10">
        <f t="shared" si="6"/>
        <v>218380</v>
      </c>
      <c r="CO10">
        <v>19</v>
      </c>
      <c r="CP10">
        <f t="shared" si="22"/>
        <v>47.120418848167546</v>
      </c>
      <c r="CQ10">
        <v>0.9</v>
      </c>
      <c r="CR10">
        <f t="shared" si="23"/>
        <v>94.285714285714278</v>
      </c>
      <c r="CS10">
        <f t="shared" si="24"/>
        <v>70.703066566940919</v>
      </c>
      <c r="CT10" t="s">
        <v>50</v>
      </c>
      <c r="CU10" t="s">
        <v>50</v>
      </c>
    </row>
    <row r="11" spans="1:99" x14ac:dyDescent="0.25">
      <c r="A11">
        <v>26</v>
      </c>
      <c r="B11" t="s">
        <v>256</v>
      </c>
      <c r="C11">
        <v>7277</v>
      </c>
      <c r="D11">
        <f t="shared" si="7"/>
        <v>1805</v>
      </c>
      <c r="E11" t="s">
        <v>41</v>
      </c>
      <c r="F11">
        <v>1</v>
      </c>
      <c r="G11">
        <v>9</v>
      </c>
      <c r="H11">
        <v>4</v>
      </c>
      <c r="I11">
        <v>5</v>
      </c>
      <c r="J11" s="3">
        <f t="shared" si="8"/>
        <v>0.55555555555555558</v>
      </c>
      <c r="K11">
        <v>6</v>
      </c>
      <c r="L11">
        <v>3</v>
      </c>
      <c r="M11">
        <v>0</v>
      </c>
      <c r="N11" t="s">
        <v>119</v>
      </c>
      <c r="O11">
        <v>2017</v>
      </c>
      <c r="P11">
        <v>0</v>
      </c>
      <c r="Q11">
        <v>9</v>
      </c>
      <c r="R11">
        <v>900</v>
      </c>
      <c r="S11" s="4">
        <f t="shared" si="25"/>
        <v>0.49861495844875348</v>
      </c>
      <c r="T11">
        <v>10</v>
      </c>
      <c r="U11" t="s">
        <v>56</v>
      </c>
      <c r="V11" t="s">
        <v>120</v>
      </c>
      <c r="W11">
        <v>5</v>
      </c>
      <c r="X11">
        <v>26</v>
      </c>
      <c r="Y11" t="s">
        <v>45</v>
      </c>
      <c r="Z11">
        <v>9.9439689999999992</v>
      </c>
      <c r="AA11">
        <v>76.244208999999998</v>
      </c>
      <c r="AB11" t="s">
        <v>121</v>
      </c>
      <c r="AC11">
        <f t="shared" si="0"/>
        <v>270000</v>
      </c>
      <c r="AD11">
        <f>161*R11</f>
        <v>144900</v>
      </c>
      <c r="AE11">
        <v>0</v>
      </c>
      <c r="AF11">
        <v>0</v>
      </c>
      <c r="AG11">
        <v>0</v>
      </c>
      <c r="AH11" t="s">
        <v>41</v>
      </c>
      <c r="AI11" t="s">
        <v>122</v>
      </c>
      <c r="AJ11">
        <v>900</v>
      </c>
      <c r="AK11" t="s">
        <v>50</v>
      </c>
      <c r="AL11" t="s">
        <v>60</v>
      </c>
      <c r="AM11">
        <v>1</v>
      </c>
      <c r="AN11">
        <v>0</v>
      </c>
      <c r="AO11">
        <v>1</v>
      </c>
      <c r="AP11">
        <v>1</v>
      </c>
      <c r="AQ11" t="s">
        <v>123</v>
      </c>
      <c r="AR11">
        <v>300</v>
      </c>
      <c r="AS11" t="s">
        <v>48</v>
      </c>
      <c r="AT11" t="s">
        <v>50</v>
      </c>
      <c r="AV11">
        <v>30</v>
      </c>
      <c r="AW11" t="s">
        <v>51</v>
      </c>
      <c r="AX11" s="5">
        <v>9000</v>
      </c>
      <c r="AY11">
        <v>360</v>
      </c>
      <c r="AZ11" t="s">
        <v>52</v>
      </c>
      <c r="BA11">
        <v>0</v>
      </c>
      <c r="BB11">
        <v>1</v>
      </c>
      <c r="BC11">
        <v>0</v>
      </c>
      <c r="BD11">
        <v>0</v>
      </c>
      <c r="BE11" t="s">
        <v>64</v>
      </c>
      <c r="BF11" t="s">
        <v>50</v>
      </c>
      <c r="BG11" t="s">
        <v>50</v>
      </c>
      <c r="BI11">
        <v>10000</v>
      </c>
      <c r="BJ11" t="s">
        <v>124</v>
      </c>
      <c r="BK11" s="1">
        <f t="shared" si="1"/>
        <v>0.49861495844875348</v>
      </c>
      <c r="BL11" s="2">
        <f t="shared" si="9"/>
        <v>16.166679385361384</v>
      </c>
      <c r="BM11" s="6">
        <f t="shared" si="2"/>
        <v>1000</v>
      </c>
      <c r="BN11" s="1">
        <f t="shared" si="10"/>
        <v>92.800262876801838</v>
      </c>
      <c r="BO11" s="1">
        <v>360</v>
      </c>
      <c r="BP11" s="1">
        <f t="shared" si="11"/>
        <v>5.7801536919478789</v>
      </c>
      <c r="BQ11" s="1">
        <f>AVERAGE(BP11,BN11,BL11)</f>
        <v>38.249031984703699</v>
      </c>
      <c r="BR11" s="2">
        <v>5</v>
      </c>
      <c r="BS11" s="2">
        <f t="shared" si="13"/>
        <v>100</v>
      </c>
      <c r="BT11" s="2">
        <f t="shared" si="3"/>
        <v>333.33333333333331</v>
      </c>
      <c r="BU11" s="2">
        <f t="shared" si="4"/>
        <v>66.666666666666657</v>
      </c>
      <c r="BV11" s="2">
        <f t="shared" si="14"/>
        <v>4.2105263157894726</v>
      </c>
      <c r="BW11" s="2">
        <v>1</v>
      </c>
      <c r="BX11" s="2">
        <v>0</v>
      </c>
      <c r="BY11" s="2">
        <v>1</v>
      </c>
      <c r="BZ11" s="2">
        <v>0</v>
      </c>
      <c r="CA11" s="2">
        <v>1</v>
      </c>
      <c r="CB11" s="2">
        <v>0</v>
      </c>
      <c r="CC11" s="2">
        <f t="shared" si="15"/>
        <v>50</v>
      </c>
      <c r="CD11" s="2">
        <f t="shared" si="16"/>
        <v>34.60526315789474</v>
      </c>
      <c r="CE11" s="2">
        <v>11</v>
      </c>
      <c r="CF11" s="2">
        <v>12</v>
      </c>
      <c r="CG11" s="2">
        <f t="shared" si="17"/>
        <v>101520</v>
      </c>
      <c r="CH11" s="2">
        <f>11*(0.59*AX11)</f>
        <v>58410</v>
      </c>
      <c r="CI11" s="2">
        <f t="shared" si="18"/>
        <v>43110</v>
      </c>
      <c r="CJ11" s="2">
        <f t="shared" si="5"/>
        <v>144900</v>
      </c>
      <c r="CK11" s="2">
        <f t="shared" si="19"/>
        <v>246420</v>
      </c>
      <c r="CL11" s="7">
        <f t="shared" si="20"/>
        <v>0.58802045288531779</v>
      </c>
      <c r="CM11">
        <f t="shared" si="21"/>
        <v>-43380</v>
      </c>
      <c r="CN11">
        <f t="shared" si="6"/>
        <v>32220</v>
      </c>
      <c r="CO11">
        <v>24</v>
      </c>
      <c r="CP11">
        <f t="shared" si="22"/>
        <v>20.94240837696336</v>
      </c>
      <c r="CQ11">
        <v>3.1</v>
      </c>
      <c r="CR11">
        <f t="shared" si="23"/>
        <v>62.857142857142854</v>
      </c>
      <c r="CS11">
        <f t="shared" si="24"/>
        <v>41.899775617053109</v>
      </c>
      <c r="CT11" t="s">
        <v>41</v>
      </c>
      <c r="CU11" t="s">
        <v>50</v>
      </c>
    </row>
    <row r="12" spans="1:99" x14ac:dyDescent="0.25">
      <c r="A12">
        <v>33</v>
      </c>
      <c r="B12" t="s">
        <v>257</v>
      </c>
      <c r="C12">
        <v>8547</v>
      </c>
      <c r="D12">
        <f t="shared" si="7"/>
        <v>2120</v>
      </c>
      <c r="E12" t="s">
        <v>41</v>
      </c>
      <c r="F12">
        <v>1</v>
      </c>
      <c r="G12">
        <v>10</v>
      </c>
      <c r="H12">
        <v>6</v>
      </c>
      <c r="I12">
        <v>4</v>
      </c>
      <c r="J12" s="3">
        <f t="shared" si="8"/>
        <v>0.4</v>
      </c>
      <c r="N12" t="s">
        <v>125</v>
      </c>
      <c r="O12">
        <v>2022</v>
      </c>
      <c r="P12">
        <v>3</v>
      </c>
      <c r="Q12">
        <v>10</v>
      </c>
      <c r="R12">
        <v>1800</v>
      </c>
      <c r="S12" s="4">
        <f t="shared" si="25"/>
        <v>0.84905660377358494</v>
      </c>
      <c r="T12">
        <v>0</v>
      </c>
      <c r="U12" t="s">
        <v>126</v>
      </c>
      <c r="V12" t="s">
        <v>127</v>
      </c>
      <c r="W12">
        <v>2</v>
      </c>
      <c r="X12">
        <v>25</v>
      </c>
      <c r="Y12" t="s">
        <v>45</v>
      </c>
      <c r="Z12">
        <v>10.018860999999999</v>
      </c>
      <c r="AA12">
        <v>76.285826999999998</v>
      </c>
      <c r="AB12" t="s">
        <v>128</v>
      </c>
      <c r="AC12">
        <f t="shared" si="0"/>
        <v>540000</v>
      </c>
      <c r="AD12">
        <f>154*R12</f>
        <v>277200</v>
      </c>
      <c r="AE12">
        <v>0</v>
      </c>
      <c r="AF12">
        <v>0</v>
      </c>
      <c r="AG12">
        <v>1200</v>
      </c>
      <c r="AH12" t="s">
        <v>41</v>
      </c>
      <c r="AI12" t="s">
        <v>129</v>
      </c>
      <c r="AJ12">
        <v>1800</v>
      </c>
      <c r="AK12" t="s">
        <v>98</v>
      </c>
      <c r="AL12" t="s">
        <v>49</v>
      </c>
      <c r="AM12">
        <v>1</v>
      </c>
      <c r="AN12">
        <v>1</v>
      </c>
      <c r="AO12">
        <v>1</v>
      </c>
      <c r="AP12">
        <v>1</v>
      </c>
      <c r="AQ12" t="s">
        <v>130</v>
      </c>
      <c r="AR12">
        <v>0</v>
      </c>
      <c r="AS12" t="s">
        <v>100</v>
      </c>
      <c r="AT12" t="s">
        <v>41</v>
      </c>
      <c r="AU12" t="s">
        <v>101</v>
      </c>
      <c r="AV12">
        <v>32760</v>
      </c>
      <c r="AW12" t="s">
        <v>91</v>
      </c>
      <c r="AX12" s="5">
        <v>32760</v>
      </c>
      <c r="AY12">
        <v>14</v>
      </c>
      <c r="AZ12" t="s">
        <v>52</v>
      </c>
      <c r="BA12">
        <v>0</v>
      </c>
      <c r="BB12">
        <v>1</v>
      </c>
      <c r="BC12">
        <v>0</v>
      </c>
      <c r="BD12">
        <v>0</v>
      </c>
      <c r="BE12" t="s">
        <v>64</v>
      </c>
      <c r="BF12" t="s">
        <v>41</v>
      </c>
      <c r="BG12" t="s">
        <v>41</v>
      </c>
      <c r="BH12" t="s">
        <v>131</v>
      </c>
      <c r="BI12">
        <v>26250</v>
      </c>
      <c r="BJ12" t="s">
        <v>132</v>
      </c>
      <c r="BK12" s="1">
        <f t="shared" si="1"/>
        <v>0.84905660377358494</v>
      </c>
      <c r="BL12" s="2">
        <f t="shared" si="9"/>
        <v>45.694908408294069</v>
      </c>
      <c r="BM12" s="6">
        <f t="shared" si="2"/>
        <v>3276</v>
      </c>
      <c r="BN12" s="1">
        <f t="shared" si="10"/>
        <v>50.195098476564418</v>
      </c>
      <c r="BO12" s="1">
        <v>14</v>
      </c>
      <c r="BP12" s="1">
        <f t="shared" si="11"/>
        <v>0</v>
      </c>
      <c r="BQ12" s="1">
        <f t="shared" si="12"/>
        <v>31.96333562828616</v>
      </c>
      <c r="BR12" s="2">
        <v>2</v>
      </c>
      <c r="BS12" s="2">
        <f t="shared" si="13"/>
        <v>100</v>
      </c>
      <c r="BT12" s="2">
        <f t="shared" si="3"/>
        <v>875</v>
      </c>
      <c r="BU12" s="2">
        <f t="shared" si="4"/>
        <v>437.5</v>
      </c>
      <c r="BV12" s="2">
        <f t="shared" si="14"/>
        <v>86.18421052631578</v>
      </c>
      <c r="BW12" s="2">
        <v>1</v>
      </c>
      <c r="BX12" s="2">
        <v>1</v>
      </c>
      <c r="BY12" s="2">
        <v>1</v>
      </c>
      <c r="BZ12" s="2">
        <v>1</v>
      </c>
      <c r="CA12" s="2">
        <v>1</v>
      </c>
      <c r="CB12" s="2">
        <v>0</v>
      </c>
      <c r="CC12" s="2">
        <f t="shared" si="15"/>
        <v>83.333333333333343</v>
      </c>
      <c r="CD12" s="2">
        <f t="shared" si="16"/>
        <v>87.258771929824562</v>
      </c>
      <c r="CE12" s="2">
        <v>11</v>
      </c>
      <c r="CF12" s="2">
        <v>12</v>
      </c>
      <c r="CG12" s="2">
        <f t="shared" si="17"/>
        <v>369532.80000000005</v>
      </c>
      <c r="CH12" s="2">
        <f>11*(0.7*AX12)</f>
        <v>252252</v>
      </c>
      <c r="CI12" s="2">
        <f t="shared" si="18"/>
        <v>117280.80000000005</v>
      </c>
      <c r="CJ12" s="2">
        <f t="shared" si="5"/>
        <v>277200</v>
      </c>
      <c r="CK12" s="2">
        <f t="shared" si="19"/>
        <v>646732.80000000005</v>
      </c>
      <c r="CL12" s="7">
        <f t="shared" si="20"/>
        <v>0.42861596009975061</v>
      </c>
      <c r="CM12">
        <f t="shared" si="21"/>
        <v>92332.800000000047</v>
      </c>
      <c r="CN12">
        <f t="shared" si="6"/>
        <v>117280.8</v>
      </c>
      <c r="CO12">
        <v>14</v>
      </c>
      <c r="CP12">
        <f t="shared" si="22"/>
        <v>73.298429319371735</v>
      </c>
      <c r="CQ12">
        <v>4</v>
      </c>
      <c r="CR12">
        <f t="shared" si="23"/>
        <v>50</v>
      </c>
      <c r="CS12">
        <f t="shared" si="24"/>
        <v>61.649214659685867</v>
      </c>
      <c r="CT12" t="s">
        <v>41</v>
      </c>
      <c r="CU12" t="s">
        <v>50</v>
      </c>
    </row>
    <row r="13" spans="1:99" x14ac:dyDescent="0.25">
      <c r="A13">
        <v>59</v>
      </c>
      <c r="B13" t="s">
        <v>258</v>
      </c>
      <c r="C13">
        <v>4569</v>
      </c>
      <c r="D13">
        <f t="shared" si="7"/>
        <v>1133</v>
      </c>
      <c r="E13" t="s">
        <v>41</v>
      </c>
      <c r="F13">
        <v>1</v>
      </c>
      <c r="G13">
        <v>6</v>
      </c>
      <c r="H13">
        <v>4</v>
      </c>
      <c r="I13">
        <v>2</v>
      </c>
      <c r="J13" s="3">
        <f t="shared" si="8"/>
        <v>0.33333333333333331</v>
      </c>
      <c r="N13" t="s">
        <v>133</v>
      </c>
      <c r="O13">
        <v>2024</v>
      </c>
      <c r="P13">
        <v>1</v>
      </c>
      <c r="Q13">
        <v>3</v>
      </c>
      <c r="R13">
        <v>1200</v>
      </c>
      <c r="S13" s="4">
        <v>1</v>
      </c>
      <c r="T13">
        <v>25</v>
      </c>
      <c r="U13" t="s">
        <v>43</v>
      </c>
      <c r="V13" t="s">
        <v>70</v>
      </c>
      <c r="W13">
        <v>3</v>
      </c>
      <c r="X13">
        <v>26</v>
      </c>
      <c r="Y13" t="s">
        <v>134</v>
      </c>
      <c r="Z13">
        <v>9.9323510000000006</v>
      </c>
      <c r="AA13">
        <v>76.298051999999998</v>
      </c>
      <c r="AB13" t="s">
        <v>135</v>
      </c>
      <c r="AC13">
        <f t="shared" si="0"/>
        <v>360000</v>
      </c>
      <c r="AD13">
        <f>150*R13</f>
        <v>180000</v>
      </c>
      <c r="AE13">
        <v>0</v>
      </c>
      <c r="AF13">
        <v>0</v>
      </c>
      <c r="AG13">
        <v>0</v>
      </c>
      <c r="AH13" t="s">
        <v>41</v>
      </c>
      <c r="AI13" t="s">
        <v>136</v>
      </c>
      <c r="AJ13">
        <v>1200</v>
      </c>
      <c r="AK13" t="s">
        <v>50</v>
      </c>
      <c r="AM13">
        <v>0</v>
      </c>
      <c r="AN13">
        <v>0</v>
      </c>
      <c r="AO13">
        <v>0</v>
      </c>
      <c r="AP13">
        <v>0</v>
      </c>
      <c r="AR13">
        <f>1000/6</f>
        <v>166.66666666666666</v>
      </c>
      <c r="AS13" t="s">
        <v>48</v>
      </c>
      <c r="AT13" t="s">
        <v>50</v>
      </c>
      <c r="AV13">
        <v>20400</v>
      </c>
      <c r="AW13" t="s">
        <v>91</v>
      </c>
      <c r="AX13" s="5">
        <v>20400</v>
      </c>
      <c r="AY13">
        <v>2400</v>
      </c>
      <c r="AZ13" t="s">
        <v>48</v>
      </c>
      <c r="BA13">
        <v>0</v>
      </c>
      <c r="BB13">
        <v>0</v>
      </c>
      <c r="BC13">
        <v>0</v>
      </c>
      <c r="BD13">
        <v>1</v>
      </c>
      <c r="BE13" t="s">
        <v>137</v>
      </c>
      <c r="BF13" t="s">
        <v>50</v>
      </c>
      <c r="BG13" t="s">
        <v>41</v>
      </c>
      <c r="BH13" t="s">
        <v>138</v>
      </c>
      <c r="BI13">
        <v>30000</v>
      </c>
      <c r="BJ13" t="s">
        <v>139</v>
      </c>
      <c r="BK13" s="1">
        <f t="shared" si="1"/>
        <v>1.0591350397175641</v>
      </c>
      <c r="BL13" s="2">
        <f t="shared" si="9"/>
        <v>63.396127005140336</v>
      </c>
      <c r="BM13" s="6">
        <f t="shared" si="2"/>
        <v>3400</v>
      </c>
      <c r="BN13" s="1">
        <f t="shared" si="10"/>
        <v>47.873903228045322</v>
      </c>
      <c r="BO13" s="1">
        <v>2400</v>
      </c>
      <c r="BP13" s="1">
        <f t="shared" si="11"/>
        <v>39.859672569328431</v>
      </c>
      <c r="BQ13" s="1">
        <f t="shared" si="12"/>
        <v>50.37656760083803</v>
      </c>
      <c r="BR13" s="2">
        <v>3</v>
      </c>
      <c r="BS13" s="2">
        <f t="shared" si="13"/>
        <v>100</v>
      </c>
      <c r="BT13" s="2">
        <f t="shared" si="3"/>
        <v>1000</v>
      </c>
      <c r="BU13" s="2">
        <f t="shared" si="4"/>
        <v>333.33333333333331</v>
      </c>
      <c r="BV13" s="2">
        <f t="shared" si="14"/>
        <v>63.157894736842103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f t="shared" si="15"/>
        <v>0</v>
      </c>
      <c r="CD13" s="2">
        <f t="shared" si="16"/>
        <v>46.578947368421055</v>
      </c>
      <c r="CE13" s="2">
        <v>11</v>
      </c>
      <c r="CF13" s="2">
        <v>12</v>
      </c>
      <c r="CG13" s="2">
        <f t="shared" si="17"/>
        <v>230112</v>
      </c>
      <c r="CH13" s="2">
        <f>11*(0.81*AX13)</f>
        <v>181764</v>
      </c>
      <c r="CI13" s="2">
        <f t="shared" si="18"/>
        <v>48348</v>
      </c>
      <c r="CJ13" s="2">
        <f t="shared" si="5"/>
        <v>180000</v>
      </c>
      <c r="CK13" s="2">
        <f t="shared" si="19"/>
        <v>410112</v>
      </c>
      <c r="CL13" s="7">
        <f t="shared" si="20"/>
        <v>0.43890449438202245</v>
      </c>
      <c r="CM13">
        <f t="shared" si="21"/>
        <v>50112</v>
      </c>
      <c r="CN13">
        <f t="shared" si="6"/>
        <v>73032</v>
      </c>
      <c r="CO13">
        <v>20</v>
      </c>
      <c r="CP13">
        <f t="shared" si="22"/>
        <v>41.884816753926714</v>
      </c>
      <c r="CQ13">
        <v>2.7</v>
      </c>
      <c r="CR13">
        <f t="shared" si="23"/>
        <v>68.571428571428569</v>
      </c>
      <c r="CS13">
        <f t="shared" si="24"/>
        <v>55.228122662677642</v>
      </c>
      <c r="CT13" t="s">
        <v>50</v>
      </c>
      <c r="CU13" t="s">
        <v>50</v>
      </c>
    </row>
    <row r="14" spans="1:99" x14ac:dyDescent="0.25">
      <c r="A14">
        <v>34</v>
      </c>
      <c r="B14" t="s">
        <v>259</v>
      </c>
      <c r="C14">
        <v>9034</v>
      </c>
      <c r="D14">
        <f t="shared" si="7"/>
        <v>2240</v>
      </c>
      <c r="E14" t="s">
        <v>41</v>
      </c>
      <c r="F14">
        <v>1</v>
      </c>
      <c r="G14">
        <v>12</v>
      </c>
      <c r="H14">
        <v>10</v>
      </c>
      <c r="I14">
        <v>2</v>
      </c>
      <c r="J14" s="3">
        <f t="shared" si="8"/>
        <v>0.16666666666666666</v>
      </c>
      <c r="N14" t="s">
        <v>140</v>
      </c>
      <c r="O14">
        <v>2023</v>
      </c>
      <c r="P14">
        <v>2</v>
      </c>
      <c r="Q14">
        <v>9</v>
      </c>
      <c r="R14">
        <v>1800</v>
      </c>
      <c r="S14" s="4">
        <f t="shared" si="25"/>
        <v>0.8035714285714286</v>
      </c>
      <c r="T14">
        <v>2</v>
      </c>
      <c r="U14" t="s">
        <v>141</v>
      </c>
      <c r="V14" t="s">
        <v>142</v>
      </c>
      <c r="W14">
        <v>10</v>
      </c>
      <c r="X14">
        <v>26</v>
      </c>
      <c r="Y14" t="s">
        <v>45</v>
      </c>
      <c r="Z14">
        <v>10.019503800000001</v>
      </c>
      <c r="AA14">
        <v>76.293798300000006</v>
      </c>
      <c r="AB14" t="s">
        <v>143</v>
      </c>
      <c r="AC14">
        <f t="shared" si="0"/>
        <v>540000</v>
      </c>
      <c r="AD14">
        <f>150*R14</f>
        <v>270000</v>
      </c>
      <c r="AE14">
        <v>0</v>
      </c>
      <c r="AF14">
        <v>0</v>
      </c>
      <c r="AG14">
        <v>1200</v>
      </c>
      <c r="AH14" t="s">
        <v>41</v>
      </c>
      <c r="AI14" t="s">
        <v>144</v>
      </c>
      <c r="AJ14">
        <v>1800</v>
      </c>
      <c r="AK14" t="s">
        <v>98</v>
      </c>
      <c r="AL14" t="s">
        <v>49</v>
      </c>
      <c r="AM14">
        <v>1</v>
      </c>
      <c r="AN14">
        <v>1</v>
      </c>
      <c r="AO14">
        <v>1</v>
      </c>
      <c r="AP14">
        <v>1</v>
      </c>
      <c r="AQ14" t="s">
        <v>130</v>
      </c>
      <c r="AR14">
        <v>500</v>
      </c>
      <c r="AS14" t="s">
        <v>100</v>
      </c>
      <c r="AT14" t="s">
        <v>41</v>
      </c>
      <c r="AU14" t="s">
        <v>101</v>
      </c>
      <c r="AV14">
        <v>45000</v>
      </c>
      <c r="AW14" t="s">
        <v>91</v>
      </c>
      <c r="AX14" s="5">
        <v>45000</v>
      </c>
      <c r="AY14">
        <v>1800</v>
      </c>
      <c r="AZ14" t="s">
        <v>52</v>
      </c>
      <c r="BA14">
        <v>0</v>
      </c>
      <c r="BB14">
        <v>1</v>
      </c>
      <c r="BC14">
        <v>0</v>
      </c>
      <c r="BD14">
        <v>0</v>
      </c>
      <c r="BE14" t="s">
        <v>64</v>
      </c>
      <c r="BF14" t="s">
        <v>50</v>
      </c>
      <c r="BG14" t="s">
        <v>41</v>
      </c>
      <c r="BH14" t="s">
        <v>145</v>
      </c>
      <c r="BI14">
        <v>25000</v>
      </c>
      <c r="BJ14" t="s">
        <v>146</v>
      </c>
      <c r="BK14" s="1">
        <f t="shared" si="1"/>
        <v>0.8035714285714286</v>
      </c>
      <c r="BL14" s="2">
        <f t="shared" si="9"/>
        <v>41.862325470633941</v>
      </c>
      <c r="BM14" s="6">
        <f t="shared" si="2"/>
        <v>3750</v>
      </c>
      <c r="BN14" s="1">
        <f>(1-(BM14-MIN($BM$2:$BM$20))/(MAX($BM$2:$BM$20)-MIN($BM$2:$BM$20)))*100</f>
        <v>41.322142445935008</v>
      </c>
      <c r="BO14" s="1">
        <v>1800</v>
      </c>
      <c r="BP14" s="1">
        <f t="shared" si="11"/>
        <v>29.836284664216507</v>
      </c>
      <c r="BQ14" s="1">
        <f t="shared" si="12"/>
        <v>37.673584193595154</v>
      </c>
      <c r="BR14" s="2">
        <v>10</v>
      </c>
      <c r="BS14" s="2">
        <f>IF(BR14&lt;=8,100,100-(BR14-8)*10)</f>
        <v>80</v>
      </c>
      <c r="BT14" s="2">
        <f t="shared" si="3"/>
        <v>833.33333333333337</v>
      </c>
      <c r="BU14" s="2">
        <f t="shared" si="4"/>
        <v>83.333333333333343</v>
      </c>
      <c r="BV14" s="2">
        <f t="shared" si="14"/>
        <v>7.8947368421052655</v>
      </c>
      <c r="BW14" s="2">
        <v>1</v>
      </c>
      <c r="BX14" s="2">
        <v>1</v>
      </c>
      <c r="BY14" s="2">
        <v>1</v>
      </c>
      <c r="BZ14" s="2">
        <v>1</v>
      </c>
      <c r="CA14" s="2">
        <v>1</v>
      </c>
      <c r="CB14" s="2">
        <v>0</v>
      </c>
      <c r="CC14" s="2">
        <f t="shared" si="15"/>
        <v>83.333333333333343</v>
      </c>
      <c r="CD14" s="2">
        <f t="shared" si="16"/>
        <v>45.114035087719301</v>
      </c>
      <c r="CE14" s="2">
        <v>11</v>
      </c>
      <c r="CF14" s="2">
        <v>12</v>
      </c>
      <c r="CG14" s="2">
        <f t="shared" si="17"/>
        <v>507600</v>
      </c>
      <c r="CH14" s="2">
        <f>11*(0.73*AX14)</f>
        <v>361350</v>
      </c>
      <c r="CI14" s="2">
        <f t="shared" si="18"/>
        <v>146250</v>
      </c>
      <c r="CJ14" s="2">
        <f t="shared" si="5"/>
        <v>270000</v>
      </c>
      <c r="CK14" s="2">
        <f t="shared" si="19"/>
        <v>777600</v>
      </c>
      <c r="CL14" s="7">
        <f t="shared" si="20"/>
        <v>0.34722222222222221</v>
      </c>
      <c r="CM14">
        <f t="shared" si="21"/>
        <v>237600</v>
      </c>
      <c r="CN14">
        <f t="shared" si="6"/>
        <v>161100</v>
      </c>
      <c r="CO14">
        <v>15</v>
      </c>
      <c r="CP14">
        <f t="shared" si="22"/>
        <v>68.062827225130889</v>
      </c>
      <c r="CQ14">
        <v>5.3</v>
      </c>
      <c r="CR14">
        <f t="shared" si="23"/>
        <v>31.428571428571427</v>
      </c>
      <c r="CS14">
        <f t="shared" si="24"/>
        <v>49.74569932685116</v>
      </c>
      <c r="CT14" t="s">
        <v>41</v>
      </c>
      <c r="CU14" t="s">
        <v>50</v>
      </c>
    </row>
    <row r="15" spans="1:99" x14ac:dyDescent="0.25">
      <c r="A15">
        <v>12</v>
      </c>
      <c r="B15" t="s">
        <v>260</v>
      </c>
      <c r="C15">
        <v>8925</v>
      </c>
      <c r="D15">
        <f t="shared" si="7"/>
        <v>2213</v>
      </c>
      <c r="E15" t="s">
        <v>41</v>
      </c>
      <c r="F15">
        <v>1</v>
      </c>
      <c r="G15">
        <v>27</v>
      </c>
      <c r="H15">
        <v>16</v>
      </c>
      <c r="I15">
        <v>11</v>
      </c>
      <c r="J15" s="3">
        <f t="shared" si="8"/>
        <v>0.40740740740740738</v>
      </c>
      <c r="N15" t="s">
        <v>147</v>
      </c>
      <c r="O15">
        <v>2022</v>
      </c>
      <c r="P15">
        <v>1</v>
      </c>
      <c r="Q15">
        <v>22</v>
      </c>
      <c r="R15">
        <v>1800</v>
      </c>
      <c r="S15" s="4">
        <f t="shared" si="25"/>
        <v>0.81337550835969274</v>
      </c>
      <c r="T15">
        <v>0</v>
      </c>
      <c r="U15" t="s">
        <v>56</v>
      </c>
      <c r="V15" t="s">
        <v>148</v>
      </c>
      <c r="W15">
        <v>3</v>
      </c>
      <c r="X15">
        <v>25</v>
      </c>
      <c r="Y15" t="s">
        <v>149</v>
      </c>
      <c r="Z15">
        <v>9.9296000000000006</v>
      </c>
      <c r="AA15">
        <v>76.269499999999994</v>
      </c>
      <c r="AB15" t="s">
        <v>150</v>
      </c>
      <c r="AC15">
        <f t="shared" si="0"/>
        <v>540000</v>
      </c>
      <c r="AD15">
        <f>153*R15</f>
        <v>275400</v>
      </c>
      <c r="AE15">
        <v>0</v>
      </c>
      <c r="AF15">
        <v>0</v>
      </c>
      <c r="AG15">
        <v>0</v>
      </c>
      <c r="AH15" t="s">
        <v>41</v>
      </c>
      <c r="AI15" t="s">
        <v>151</v>
      </c>
      <c r="AJ15">
        <v>160</v>
      </c>
      <c r="AK15" t="s">
        <v>152</v>
      </c>
      <c r="AL15" t="s">
        <v>60</v>
      </c>
      <c r="AM15">
        <v>1</v>
      </c>
      <c r="AN15">
        <v>0</v>
      </c>
      <c r="AO15">
        <v>1</v>
      </c>
      <c r="AP15">
        <v>1</v>
      </c>
      <c r="AQ15" t="s">
        <v>19</v>
      </c>
      <c r="AR15">
        <v>150</v>
      </c>
      <c r="AS15" t="s">
        <v>80</v>
      </c>
      <c r="AT15" t="s">
        <v>50</v>
      </c>
      <c r="AV15">
        <v>6</v>
      </c>
      <c r="AW15" t="s">
        <v>51</v>
      </c>
      <c r="AX15" s="5">
        <v>37461.601999800005</v>
      </c>
      <c r="AY15">
        <v>200</v>
      </c>
      <c r="AZ15" t="s">
        <v>63</v>
      </c>
      <c r="BA15">
        <v>1</v>
      </c>
      <c r="BB15">
        <v>0</v>
      </c>
      <c r="BC15">
        <v>0</v>
      </c>
      <c r="BD15">
        <v>0</v>
      </c>
      <c r="BE15" t="s">
        <v>64</v>
      </c>
      <c r="BF15" t="s">
        <v>41</v>
      </c>
      <c r="BG15" t="s">
        <v>50</v>
      </c>
      <c r="BI15">
        <v>24000</v>
      </c>
      <c r="BJ15" t="s">
        <v>153</v>
      </c>
      <c r="BK15" s="1">
        <f t="shared" si="1"/>
        <v>0.81337550835969274</v>
      </c>
      <c r="BL15" s="2">
        <f t="shared" si="9"/>
        <v>42.68841768087519</v>
      </c>
      <c r="BM15" s="6">
        <f t="shared" si="2"/>
        <v>1387.4667407333336</v>
      </c>
      <c r="BN15" s="1">
        <f t="shared" ref="BN15:BN20" si="26">(1-(BM15-MIN($BM$2:$BM$20))/(MAX($BM$2:$BM$20)-MIN($BM$2:$BM$20)))*100</f>
        <v>85.547150315919666</v>
      </c>
      <c r="BO15" s="1">
        <v>200</v>
      </c>
      <c r="BP15" s="1">
        <f t="shared" si="11"/>
        <v>3.1072502505846975</v>
      </c>
      <c r="BQ15" s="1">
        <f t="shared" si="12"/>
        <v>43.780939415793192</v>
      </c>
      <c r="BR15" s="2">
        <v>3</v>
      </c>
      <c r="BS15" s="2">
        <f t="shared" si="13"/>
        <v>100</v>
      </c>
      <c r="BT15" s="2">
        <f t="shared" si="3"/>
        <v>800</v>
      </c>
      <c r="BU15" s="2">
        <f t="shared" si="4"/>
        <v>266.66666666666669</v>
      </c>
      <c r="BV15" s="2">
        <f t="shared" si="14"/>
        <v>48.421052631578945</v>
      </c>
      <c r="BW15" s="2">
        <v>1</v>
      </c>
      <c r="BX15" s="2">
        <v>0</v>
      </c>
      <c r="BY15" s="2">
        <v>1</v>
      </c>
      <c r="BZ15" s="2">
        <v>1</v>
      </c>
      <c r="CA15" s="2">
        <v>0</v>
      </c>
      <c r="CB15" s="2">
        <v>0</v>
      </c>
      <c r="CC15" s="2">
        <f t="shared" si="15"/>
        <v>50</v>
      </c>
      <c r="CD15" s="2">
        <f t="shared" si="16"/>
        <v>56.710526315789473</v>
      </c>
      <c r="CE15" s="2">
        <v>11</v>
      </c>
      <c r="CF15" s="2">
        <v>12</v>
      </c>
      <c r="CG15" s="2">
        <f t="shared" si="17"/>
        <v>422566.87055774406</v>
      </c>
      <c r="CH15" s="2">
        <f>11*(0.67*AX15)</f>
        <v>276092.00673852605</v>
      </c>
      <c r="CI15" s="2">
        <f t="shared" si="18"/>
        <v>146474.86381921801</v>
      </c>
      <c r="CJ15" s="2">
        <f t="shared" si="5"/>
        <v>275400</v>
      </c>
      <c r="CK15" s="2">
        <f t="shared" si="19"/>
        <v>697966.87055774406</v>
      </c>
      <c r="CL15" s="7">
        <f t="shared" si="20"/>
        <v>0.39457460177146858</v>
      </c>
      <c r="CM15">
        <f t="shared" si="21"/>
        <v>147166.87055774406</v>
      </c>
      <c r="CN15">
        <f t="shared" si="6"/>
        <v>134112.53515928402</v>
      </c>
      <c r="CO15" s="9">
        <v>23</v>
      </c>
      <c r="CP15">
        <f t="shared" si="22"/>
        <v>26.178010471204193</v>
      </c>
      <c r="CQ15" s="9">
        <v>4.5999999999999996</v>
      </c>
      <c r="CR15">
        <f t="shared" si="23"/>
        <v>41.428571428571438</v>
      </c>
      <c r="CS15">
        <f t="shared" si="24"/>
        <v>33.803290949887817</v>
      </c>
      <c r="CT15" t="s">
        <v>50</v>
      </c>
      <c r="CU15" t="s">
        <v>41</v>
      </c>
    </row>
    <row r="16" spans="1:99" x14ac:dyDescent="0.25">
      <c r="A16">
        <v>10</v>
      </c>
      <c r="B16" t="s">
        <v>261</v>
      </c>
      <c r="C16">
        <v>7673</v>
      </c>
      <c r="D16">
        <f t="shared" si="7"/>
        <v>1903</v>
      </c>
      <c r="E16" t="s">
        <v>41</v>
      </c>
      <c r="F16">
        <v>1</v>
      </c>
      <c r="G16">
        <v>16</v>
      </c>
      <c r="H16">
        <v>6</v>
      </c>
      <c r="I16">
        <v>10</v>
      </c>
      <c r="J16" s="3">
        <f t="shared" si="8"/>
        <v>0.625</v>
      </c>
      <c r="N16" t="s">
        <v>154</v>
      </c>
      <c r="O16">
        <v>2022</v>
      </c>
      <c r="P16">
        <v>0</v>
      </c>
      <c r="Q16">
        <v>11</v>
      </c>
      <c r="R16">
        <v>1600</v>
      </c>
      <c r="S16" s="4">
        <f t="shared" si="25"/>
        <v>0.84077771939043611</v>
      </c>
      <c r="T16">
        <v>0</v>
      </c>
      <c r="U16" t="s">
        <v>56</v>
      </c>
      <c r="V16" t="s">
        <v>155</v>
      </c>
      <c r="W16">
        <v>7</v>
      </c>
      <c r="X16">
        <v>24</v>
      </c>
      <c r="Y16" t="s">
        <v>156</v>
      </c>
      <c r="Z16">
        <v>9.9430610000000001</v>
      </c>
      <c r="AA16">
        <v>76.255121000000003</v>
      </c>
      <c r="AB16" t="s">
        <v>157</v>
      </c>
      <c r="AC16">
        <f t="shared" si="0"/>
        <v>480000</v>
      </c>
      <c r="AD16">
        <f>150*R16</f>
        <v>240000</v>
      </c>
      <c r="AE16">
        <v>0</v>
      </c>
      <c r="AF16">
        <v>0</v>
      </c>
      <c r="AG16">
        <v>0</v>
      </c>
      <c r="AH16" t="s">
        <v>41</v>
      </c>
      <c r="AI16" t="s">
        <v>151</v>
      </c>
      <c r="AJ16">
        <v>100</v>
      </c>
      <c r="AK16" t="s">
        <v>152</v>
      </c>
      <c r="AL16" t="s">
        <v>49</v>
      </c>
      <c r="AM16">
        <v>1</v>
      </c>
      <c r="AN16">
        <v>1</v>
      </c>
      <c r="AO16">
        <v>1</v>
      </c>
      <c r="AP16">
        <v>1</v>
      </c>
      <c r="AQ16" t="s">
        <v>19</v>
      </c>
      <c r="AR16">
        <v>200</v>
      </c>
      <c r="AS16" t="s">
        <v>80</v>
      </c>
      <c r="AT16" t="s">
        <v>50</v>
      </c>
      <c r="AV16">
        <v>3300</v>
      </c>
      <c r="AW16" t="s">
        <v>91</v>
      </c>
      <c r="AX16" s="5">
        <v>30000</v>
      </c>
      <c r="AY16">
        <v>110</v>
      </c>
      <c r="AZ16" t="s">
        <v>63</v>
      </c>
      <c r="BA16">
        <v>1</v>
      </c>
      <c r="BB16">
        <v>0</v>
      </c>
      <c r="BC16">
        <v>0</v>
      </c>
      <c r="BD16">
        <v>0</v>
      </c>
      <c r="BE16" t="s">
        <v>64</v>
      </c>
      <c r="BF16" t="s">
        <v>50</v>
      </c>
      <c r="BG16" t="s">
        <v>41</v>
      </c>
      <c r="BH16" t="s">
        <v>158</v>
      </c>
      <c r="BI16">
        <v>16000</v>
      </c>
      <c r="BJ16" t="s">
        <v>159</v>
      </c>
      <c r="BK16" s="1">
        <f t="shared" si="1"/>
        <v>0.84077771939043611</v>
      </c>
      <c r="BL16" s="2">
        <f t="shared" si="9"/>
        <v>44.997329232470371</v>
      </c>
      <c r="BM16" s="6">
        <f t="shared" si="2"/>
        <v>1875</v>
      </c>
      <c r="BN16" s="1">
        <f t="shared" si="26"/>
        <v>76.420860921526028</v>
      </c>
      <c r="BO16" s="1">
        <v>110</v>
      </c>
      <c r="BP16" s="1">
        <f t="shared" si="11"/>
        <v>1.6037420648179084</v>
      </c>
      <c r="BQ16" s="1">
        <f t="shared" si="12"/>
        <v>41.007310739604769</v>
      </c>
      <c r="BR16" s="2">
        <v>7</v>
      </c>
      <c r="BS16" s="2">
        <f t="shared" si="13"/>
        <v>100</v>
      </c>
      <c r="BT16" s="2">
        <f t="shared" si="3"/>
        <v>533.33333333333337</v>
      </c>
      <c r="BU16" s="2">
        <f t="shared" si="4"/>
        <v>76.19047619047619</v>
      </c>
      <c r="BV16" s="2">
        <f t="shared" si="14"/>
        <v>6.3157894736842106</v>
      </c>
      <c r="BW16" s="2">
        <v>1</v>
      </c>
      <c r="BX16" s="2">
        <v>1</v>
      </c>
      <c r="BY16" s="2">
        <v>1</v>
      </c>
      <c r="BZ16" s="2">
        <v>1</v>
      </c>
      <c r="CA16" s="2">
        <v>0</v>
      </c>
      <c r="CB16" s="2">
        <v>0</v>
      </c>
      <c r="CC16" s="2">
        <f t="shared" si="15"/>
        <v>66.666666666666657</v>
      </c>
      <c r="CD16" s="2">
        <f t="shared" si="16"/>
        <v>41.491228070175438</v>
      </c>
      <c r="CE16" s="2">
        <v>11</v>
      </c>
      <c r="CF16" s="2">
        <v>12</v>
      </c>
      <c r="CG16" s="2">
        <f t="shared" si="17"/>
        <v>338400</v>
      </c>
      <c r="CH16" s="2">
        <f>11*(0.7*AX16)</f>
        <v>231000</v>
      </c>
      <c r="CI16" s="2">
        <f t="shared" si="18"/>
        <v>107400</v>
      </c>
      <c r="CJ16" s="2">
        <f t="shared" si="5"/>
        <v>240000</v>
      </c>
      <c r="CK16" s="2">
        <f t="shared" si="19"/>
        <v>578400</v>
      </c>
      <c r="CL16" s="7">
        <f t="shared" si="20"/>
        <v>0.41493775933609961</v>
      </c>
      <c r="CM16">
        <f t="shared" si="21"/>
        <v>98400</v>
      </c>
      <c r="CN16">
        <f t="shared" si="6"/>
        <v>107400</v>
      </c>
      <c r="CO16">
        <v>23</v>
      </c>
      <c r="CP16">
        <f t="shared" si="22"/>
        <v>26.178010471204193</v>
      </c>
      <c r="CQ16">
        <v>2.7</v>
      </c>
      <c r="CR16">
        <f t="shared" si="23"/>
        <v>68.571428571428569</v>
      </c>
      <c r="CS16">
        <f t="shared" si="24"/>
        <v>47.374719521316379</v>
      </c>
      <c r="CT16" t="s">
        <v>41</v>
      </c>
      <c r="CU16" t="s">
        <v>50</v>
      </c>
    </row>
    <row r="17" spans="1:99" x14ac:dyDescent="0.25">
      <c r="A17">
        <v>9</v>
      </c>
      <c r="B17" t="s">
        <v>262</v>
      </c>
      <c r="C17">
        <v>5046</v>
      </c>
      <c r="D17">
        <f t="shared" si="7"/>
        <v>1251</v>
      </c>
      <c r="E17" t="s">
        <v>41</v>
      </c>
      <c r="F17">
        <v>1</v>
      </c>
      <c r="G17">
        <v>33</v>
      </c>
      <c r="H17">
        <v>15</v>
      </c>
      <c r="I17">
        <v>18</v>
      </c>
      <c r="J17" s="3">
        <f t="shared" si="8"/>
        <v>0.54545454545454541</v>
      </c>
      <c r="N17" t="s">
        <v>160</v>
      </c>
      <c r="O17">
        <v>2022</v>
      </c>
      <c r="P17">
        <v>0</v>
      </c>
      <c r="Q17">
        <v>30</v>
      </c>
      <c r="R17">
        <v>1200</v>
      </c>
      <c r="S17" s="4">
        <f t="shared" si="25"/>
        <v>0.95923261390887293</v>
      </c>
      <c r="T17">
        <v>0</v>
      </c>
      <c r="U17" t="s">
        <v>56</v>
      </c>
      <c r="V17" t="s">
        <v>148</v>
      </c>
      <c r="W17">
        <v>3</v>
      </c>
      <c r="X17">
        <v>26</v>
      </c>
      <c r="Y17" t="s">
        <v>161</v>
      </c>
      <c r="Z17">
        <v>9.9472059999999995</v>
      </c>
      <c r="AA17">
        <v>76.257401999999999</v>
      </c>
      <c r="AB17" t="s">
        <v>157</v>
      </c>
      <c r="AC17">
        <f t="shared" si="0"/>
        <v>360000</v>
      </c>
      <c r="AD17">
        <f>150*R17</f>
        <v>180000</v>
      </c>
      <c r="AE17">
        <v>0</v>
      </c>
      <c r="AF17">
        <v>0</v>
      </c>
      <c r="AG17">
        <v>0</v>
      </c>
      <c r="AH17" t="s">
        <v>41</v>
      </c>
      <c r="AI17" t="s">
        <v>162</v>
      </c>
      <c r="AJ17">
        <v>120</v>
      </c>
      <c r="AK17" t="s">
        <v>152</v>
      </c>
      <c r="AL17" t="s">
        <v>49</v>
      </c>
      <c r="AM17">
        <v>1</v>
      </c>
      <c r="AN17">
        <v>1</v>
      </c>
      <c r="AO17">
        <v>1</v>
      </c>
      <c r="AP17">
        <v>1</v>
      </c>
      <c r="AQ17" t="s">
        <v>19</v>
      </c>
      <c r="AR17">
        <v>200</v>
      </c>
      <c r="AS17" t="s">
        <v>115</v>
      </c>
      <c r="AT17" t="s">
        <v>50</v>
      </c>
      <c r="AV17">
        <v>4200</v>
      </c>
      <c r="AW17" t="s">
        <v>91</v>
      </c>
      <c r="AX17" s="5">
        <v>24974.400119999998</v>
      </c>
      <c r="AY17">
        <v>140</v>
      </c>
      <c r="AZ17" t="s">
        <v>92</v>
      </c>
      <c r="BA17">
        <v>1</v>
      </c>
      <c r="BB17">
        <v>0</v>
      </c>
      <c r="BC17">
        <v>1</v>
      </c>
      <c r="BD17">
        <v>0</v>
      </c>
      <c r="BE17" t="s">
        <v>64</v>
      </c>
      <c r="BF17" t="s">
        <v>50</v>
      </c>
      <c r="BG17" t="s">
        <v>50</v>
      </c>
      <c r="BI17">
        <v>18000</v>
      </c>
      <c r="BJ17" t="s">
        <v>163</v>
      </c>
      <c r="BK17" s="1">
        <f t="shared" si="1"/>
        <v>0.95923261390887293</v>
      </c>
      <c r="BL17" s="2">
        <f t="shared" si="9"/>
        <v>54.978344048747665</v>
      </c>
      <c r="BM17" s="6">
        <f t="shared" si="2"/>
        <v>756.80000363636361</v>
      </c>
      <c r="BN17" s="1">
        <f t="shared" si="26"/>
        <v>97.352800586472256</v>
      </c>
      <c r="BO17" s="1">
        <v>140</v>
      </c>
      <c r="BP17" s="1">
        <f t="shared" si="11"/>
        <v>2.104911460073505</v>
      </c>
      <c r="BQ17" s="1">
        <f t="shared" si="12"/>
        <v>51.47868536509781</v>
      </c>
      <c r="BR17" s="2">
        <v>3</v>
      </c>
      <c r="BS17" s="2">
        <f t="shared" si="13"/>
        <v>100</v>
      </c>
      <c r="BT17" s="2">
        <f t="shared" si="3"/>
        <v>600</v>
      </c>
      <c r="BU17" s="2">
        <f t="shared" si="4"/>
        <v>200</v>
      </c>
      <c r="BV17" s="2">
        <f t="shared" si="14"/>
        <v>33.684210526315788</v>
      </c>
      <c r="BW17" s="2">
        <v>1</v>
      </c>
      <c r="BX17" s="2">
        <v>1</v>
      </c>
      <c r="BY17" s="2">
        <v>1</v>
      </c>
      <c r="BZ17" s="2">
        <v>1</v>
      </c>
      <c r="CA17" s="2">
        <v>0</v>
      </c>
      <c r="CB17" s="2">
        <v>0</v>
      </c>
      <c r="CC17" s="2">
        <f t="shared" si="15"/>
        <v>66.666666666666657</v>
      </c>
      <c r="CD17" s="2">
        <f t="shared" si="16"/>
        <v>55.175438596491219</v>
      </c>
      <c r="CE17" s="2">
        <v>11</v>
      </c>
      <c r="CF17" s="2">
        <v>12</v>
      </c>
      <c r="CG17" s="2">
        <f t="shared" si="17"/>
        <v>281711.23335360002</v>
      </c>
      <c r="CH17" s="2">
        <f>11*(0.66*AX17)</f>
        <v>181314.14487119997</v>
      </c>
      <c r="CI17" s="2">
        <f t="shared" si="18"/>
        <v>100397.08848240005</v>
      </c>
      <c r="CJ17" s="2">
        <f t="shared" si="5"/>
        <v>180000</v>
      </c>
      <c r="CK17" s="2">
        <f t="shared" si="19"/>
        <v>461711.23335360002</v>
      </c>
      <c r="CL17" s="7">
        <f t="shared" si="20"/>
        <v>0.3898540624463161</v>
      </c>
      <c r="CM17">
        <f t="shared" si="21"/>
        <v>101711.23335360002</v>
      </c>
      <c r="CN17">
        <f t="shared" si="6"/>
        <v>89408.352429599996</v>
      </c>
      <c r="CO17">
        <v>25</v>
      </c>
      <c r="CP17">
        <f t="shared" si="22"/>
        <v>15.706806282722507</v>
      </c>
      <c r="CQ17">
        <v>0.5</v>
      </c>
      <c r="CR17">
        <f t="shared" si="23"/>
        <v>100</v>
      </c>
      <c r="CS17">
        <f t="shared" si="24"/>
        <v>57.853403141361255</v>
      </c>
      <c r="CT17" t="s">
        <v>41</v>
      </c>
      <c r="CU17" t="s">
        <v>50</v>
      </c>
    </row>
    <row r="18" spans="1:99" x14ac:dyDescent="0.25">
      <c r="A18">
        <v>13</v>
      </c>
      <c r="B18" t="s">
        <v>263</v>
      </c>
      <c r="C18">
        <v>10203</v>
      </c>
      <c r="D18">
        <f t="shared" si="7"/>
        <v>2530</v>
      </c>
      <c r="E18" t="s">
        <v>41</v>
      </c>
      <c r="F18">
        <v>1</v>
      </c>
      <c r="G18">
        <v>15</v>
      </c>
      <c r="H18">
        <v>5</v>
      </c>
      <c r="I18">
        <v>10</v>
      </c>
      <c r="J18" s="3">
        <f t="shared" si="8"/>
        <v>0.66666666666666663</v>
      </c>
      <c r="K18">
        <v>5</v>
      </c>
      <c r="L18">
        <v>10</v>
      </c>
      <c r="M18">
        <v>0</v>
      </c>
      <c r="N18" t="s">
        <v>164</v>
      </c>
      <c r="O18">
        <v>2023</v>
      </c>
      <c r="P18">
        <v>2</v>
      </c>
      <c r="Q18">
        <v>14</v>
      </c>
      <c r="R18">
        <v>2000</v>
      </c>
      <c r="S18" s="4">
        <f t="shared" si="25"/>
        <v>0.79051383399209485</v>
      </c>
      <c r="T18">
        <v>50</v>
      </c>
      <c r="U18" t="s">
        <v>43</v>
      </c>
      <c r="V18" t="s">
        <v>120</v>
      </c>
      <c r="W18">
        <v>7</v>
      </c>
      <c r="X18">
        <v>16</v>
      </c>
      <c r="Y18" t="s">
        <v>45</v>
      </c>
      <c r="Z18">
        <v>9.9213950000000004</v>
      </c>
      <c r="AA18">
        <v>76.273525000000006</v>
      </c>
      <c r="AB18" t="s">
        <v>165</v>
      </c>
      <c r="AC18">
        <f t="shared" si="0"/>
        <v>600000</v>
      </c>
      <c r="AD18">
        <f>150*R18</f>
        <v>300000</v>
      </c>
      <c r="AE18">
        <v>0</v>
      </c>
      <c r="AF18">
        <v>0</v>
      </c>
      <c r="AG18">
        <v>1250</v>
      </c>
      <c r="AH18" t="s">
        <v>50</v>
      </c>
      <c r="AI18" t="s">
        <v>166</v>
      </c>
      <c r="AJ18">
        <v>150</v>
      </c>
      <c r="AK18" t="s">
        <v>167</v>
      </c>
      <c r="AL18" t="s">
        <v>49</v>
      </c>
      <c r="AM18">
        <v>1</v>
      </c>
      <c r="AN18">
        <v>1</v>
      </c>
      <c r="AO18">
        <v>1</v>
      </c>
      <c r="AP18">
        <v>1</v>
      </c>
      <c r="AQ18" t="s">
        <v>168</v>
      </c>
      <c r="AR18">
        <v>100</v>
      </c>
      <c r="AS18" t="s">
        <v>100</v>
      </c>
      <c r="AT18" t="s">
        <v>50</v>
      </c>
      <c r="AV18">
        <v>51366</v>
      </c>
      <c r="AW18" t="s">
        <v>91</v>
      </c>
      <c r="AX18">
        <v>51366</v>
      </c>
      <c r="AY18">
        <v>150</v>
      </c>
      <c r="AZ18" t="s">
        <v>169</v>
      </c>
      <c r="BA18">
        <v>0</v>
      </c>
      <c r="BB18">
        <v>1</v>
      </c>
      <c r="BC18">
        <v>1</v>
      </c>
      <c r="BD18">
        <v>0</v>
      </c>
      <c r="BE18" t="s">
        <v>170</v>
      </c>
      <c r="BF18" t="s">
        <v>41</v>
      </c>
      <c r="BG18" t="s">
        <v>41</v>
      </c>
      <c r="BH18" t="s">
        <v>171</v>
      </c>
      <c r="BI18">
        <v>10000</v>
      </c>
      <c r="BJ18" t="s">
        <v>172</v>
      </c>
      <c r="BK18" s="1">
        <f t="shared" si="1"/>
        <v>0.79051383399209485</v>
      </c>
      <c r="BL18" s="2">
        <f t="shared" si="9"/>
        <v>40.762091955665191</v>
      </c>
      <c r="BM18" s="6">
        <f t="shared" si="2"/>
        <v>3424.4</v>
      </c>
      <c r="BN18" s="1">
        <f t="shared" si="26"/>
        <v>47.417151904949641</v>
      </c>
      <c r="BO18" s="1">
        <f>15*20</f>
        <v>300</v>
      </c>
      <c r="BP18" s="1">
        <f t="shared" si="11"/>
        <v>4.7778149014366855</v>
      </c>
      <c r="BQ18" s="1">
        <f t="shared" si="12"/>
        <v>30.985686254017171</v>
      </c>
      <c r="BR18" s="2">
        <v>7</v>
      </c>
      <c r="BS18" s="2">
        <f t="shared" si="13"/>
        <v>100</v>
      </c>
      <c r="BT18" s="2">
        <f t="shared" si="3"/>
        <v>333.33333333333331</v>
      </c>
      <c r="BU18" s="2">
        <f t="shared" si="4"/>
        <v>47.619047619047613</v>
      </c>
      <c r="BV18" s="2">
        <f t="shared" si="14"/>
        <v>0</v>
      </c>
      <c r="BW18" s="2">
        <v>1</v>
      </c>
      <c r="BX18" s="2">
        <v>1</v>
      </c>
      <c r="BY18" s="2">
        <v>1</v>
      </c>
      <c r="BZ18" s="2">
        <v>0</v>
      </c>
      <c r="CA18" s="2">
        <v>0</v>
      </c>
      <c r="CB18" s="2">
        <v>1</v>
      </c>
      <c r="CC18" s="2">
        <f t="shared" si="15"/>
        <v>66.666666666666657</v>
      </c>
      <c r="CD18" s="2">
        <f t="shared" si="16"/>
        <v>38.333333333333329</v>
      </c>
      <c r="CE18" s="2">
        <v>11</v>
      </c>
      <c r="CF18" s="2">
        <v>12</v>
      </c>
      <c r="CG18" s="2">
        <f t="shared" si="17"/>
        <v>579408.48</v>
      </c>
      <c r="CH18" s="2">
        <f>11*(0.72*AX18)</f>
        <v>406818.72</v>
      </c>
      <c r="CI18" s="2">
        <f t="shared" si="18"/>
        <v>172589.76</v>
      </c>
      <c r="CJ18" s="2">
        <f t="shared" si="5"/>
        <v>300000</v>
      </c>
      <c r="CK18" s="2">
        <f t="shared" si="19"/>
        <v>879408.48</v>
      </c>
      <c r="CL18" s="7">
        <f t="shared" si="20"/>
        <v>0.34113839793766831</v>
      </c>
      <c r="CM18">
        <f t="shared" si="21"/>
        <v>279408.48</v>
      </c>
      <c r="CN18">
        <f t="shared" si="6"/>
        <v>183890.28</v>
      </c>
      <c r="CO18">
        <v>24</v>
      </c>
      <c r="CP18">
        <f t="shared" si="22"/>
        <v>20.94240837696336</v>
      </c>
      <c r="CQ18">
        <v>6</v>
      </c>
      <c r="CR18">
        <f t="shared" si="23"/>
        <v>21.428571428571431</v>
      </c>
      <c r="CS18">
        <f t="shared" si="24"/>
        <v>21.185489902767394</v>
      </c>
      <c r="CT18" t="s">
        <v>50</v>
      </c>
      <c r="CU18" t="s">
        <v>41</v>
      </c>
    </row>
    <row r="19" spans="1:99" x14ac:dyDescent="0.25">
      <c r="A19">
        <v>22</v>
      </c>
      <c r="B19" t="s">
        <v>264</v>
      </c>
      <c r="C19">
        <v>14723</v>
      </c>
      <c r="D19">
        <f t="shared" si="7"/>
        <v>3651</v>
      </c>
      <c r="E19" t="s">
        <v>41</v>
      </c>
      <c r="F19">
        <v>1</v>
      </c>
      <c r="G19">
        <v>13</v>
      </c>
      <c r="H19">
        <v>7</v>
      </c>
      <c r="I19">
        <v>6</v>
      </c>
      <c r="J19" s="3">
        <f t="shared" si="8"/>
        <v>0.46153846153846156</v>
      </c>
      <c r="K19">
        <v>0</v>
      </c>
      <c r="L19">
        <v>13</v>
      </c>
      <c r="M19">
        <v>0</v>
      </c>
      <c r="N19" t="s">
        <v>147</v>
      </c>
      <c r="O19">
        <v>2018</v>
      </c>
      <c r="P19">
        <v>1</v>
      </c>
      <c r="Q19">
        <v>13</v>
      </c>
      <c r="R19">
        <v>1750</v>
      </c>
      <c r="S19" s="4">
        <f t="shared" si="25"/>
        <v>0.47932073404546699</v>
      </c>
      <c r="T19">
        <v>20</v>
      </c>
      <c r="U19" t="s">
        <v>43</v>
      </c>
      <c r="V19" t="s">
        <v>120</v>
      </c>
      <c r="W19">
        <v>7</v>
      </c>
      <c r="X19">
        <v>12</v>
      </c>
      <c r="Y19" t="s">
        <v>45</v>
      </c>
      <c r="Z19">
        <v>9.9290009999999995</v>
      </c>
      <c r="AA19">
        <v>76.257970999999998</v>
      </c>
      <c r="AB19" t="s">
        <v>173</v>
      </c>
      <c r="AC19">
        <f t="shared" si="0"/>
        <v>525000</v>
      </c>
      <c r="AD19">
        <f>150*R19</f>
        <v>262500</v>
      </c>
      <c r="AE19">
        <f>500*G18</f>
        <v>7500</v>
      </c>
      <c r="AF19">
        <v>0</v>
      </c>
      <c r="AG19">
        <v>1250</v>
      </c>
      <c r="AH19" t="s">
        <v>41</v>
      </c>
      <c r="AI19" t="s">
        <v>174</v>
      </c>
      <c r="AJ19">
        <v>1170</v>
      </c>
      <c r="AK19" t="s">
        <v>167</v>
      </c>
      <c r="AL19" t="s">
        <v>49</v>
      </c>
      <c r="AM19">
        <v>1</v>
      </c>
      <c r="AN19">
        <v>1</v>
      </c>
      <c r="AO19">
        <v>1</v>
      </c>
      <c r="AP19">
        <v>1</v>
      </c>
      <c r="AQ19" t="s">
        <v>175</v>
      </c>
      <c r="AR19">
        <v>100</v>
      </c>
      <c r="AS19" t="s">
        <v>176</v>
      </c>
      <c r="AT19" t="s">
        <v>41</v>
      </c>
      <c r="AU19" t="s">
        <v>177</v>
      </c>
      <c r="AV19">
        <v>38110</v>
      </c>
      <c r="AW19" t="s">
        <v>91</v>
      </c>
      <c r="AX19">
        <v>38110</v>
      </c>
      <c r="AY19">
        <v>23</v>
      </c>
      <c r="AZ19" t="s">
        <v>178</v>
      </c>
      <c r="BA19">
        <v>0</v>
      </c>
      <c r="BB19">
        <v>0</v>
      </c>
      <c r="BC19">
        <v>1</v>
      </c>
      <c r="BD19">
        <v>0</v>
      </c>
      <c r="BE19" t="s">
        <v>179</v>
      </c>
      <c r="BF19" t="s">
        <v>41</v>
      </c>
      <c r="BG19" t="s">
        <v>41</v>
      </c>
      <c r="BH19" t="s">
        <v>180</v>
      </c>
      <c r="BI19">
        <v>20000</v>
      </c>
      <c r="BJ19" t="s">
        <v>181</v>
      </c>
      <c r="BK19" s="1">
        <f t="shared" si="1"/>
        <v>0.47932073404546699</v>
      </c>
      <c r="BL19" s="2">
        <f t="shared" si="9"/>
        <v>14.540947156898604</v>
      </c>
      <c r="BM19" s="6">
        <f t="shared" si="2"/>
        <v>2931.5384615384614</v>
      </c>
      <c r="BN19" s="1">
        <f t="shared" si="26"/>
        <v>56.643183044100688</v>
      </c>
      <c r="BO19" s="1">
        <f>14*23</f>
        <v>322</v>
      </c>
      <c r="BP19" s="1">
        <f t="shared" si="11"/>
        <v>5.1453391246241234</v>
      </c>
      <c r="BQ19" s="1">
        <f t="shared" si="12"/>
        <v>25.443156441874475</v>
      </c>
      <c r="BR19" s="2">
        <v>7</v>
      </c>
      <c r="BS19" s="2">
        <f t="shared" si="13"/>
        <v>100</v>
      </c>
      <c r="BT19" s="2">
        <f t="shared" si="3"/>
        <v>666.66666666666663</v>
      </c>
      <c r="BU19" s="2">
        <f t="shared" si="4"/>
        <v>95.238095238095227</v>
      </c>
      <c r="BV19" s="2">
        <f t="shared" si="14"/>
        <v>10.526315789473681</v>
      </c>
      <c r="BW19" s="2">
        <v>1</v>
      </c>
      <c r="BX19" s="2">
        <v>1</v>
      </c>
      <c r="BY19" s="2">
        <v>1</v>
      </c>
      <c r="BZ19" s="2">
        <v>0</v>
      </c>
      <c r="CA19" s="2">
        <v>1</v>
      </c>
      <c r="CB19" s="2">
        <v>0</v>
      </c>
      <c r="CC19" s="2">
        <f t="shared" si="15"/>
        <v>66.666666666666657</v>
      </c>
      <c r="CD19" s="2">
        <f t="shared" si="16"/>
        <v>43.596491228070171</v>
      </c>
      <c r="CE19" s="2">
        <v>11</v>
      </c>
      <c r="CF19" s="2">
        <v>12</v>
      </c>
      <c r="CG19" s="2">
        <f t="shared" si="17"/>
        <v>429880.80000000005</v>
      </c>
      <c r="CH19" s="2">
        <f>11*(0.71*AX19)</f>
        <v>297639.09999999998</v>
      </c>
      <c r="CI19" s="2">
        <f t="shared" si="18"/>
        <v>132241.70000000007</v>
      </c>
      <c r="CJ19" s="2">
        <f t="shared" si="5"/>
        <v>270000</v>
      </c>
      <c r="CK19" s="2">
        <f t="shared" si="19"/>
        <v>699880.8</v>
      </c>
      <c r="CL19" s="7">
        <f t="shared" si="20"/>
        <v>0.38577997853348739</v>
      </c>
      <c r="CM19">
        <f t="shared" si="21"/>
        <v>159880.80000000005</v>
      </c>
      <c r="CN19">
        <f t="shared" si="6"/>
        <v>136433.80000000002</v>
      </c>
      <c r="CO19">
        <v>25</v>
      </c>
      <c r="CP19">
        <f t="shared" si="22"/>
        <v>15.706806282722507</v>
      </c>
      <c r="CQ19">
        <v>4.5999999999999996</v>
      </c>
      <c r="CR19">
        <f t="shared" si="23"/>
        <v>41.428571428571438</v>
      </c>
      <c r="CS19">
        <f t="shared" si="24"/>
        <v>28.567688855646971</v>
      </c>
      <c r="CT19" t="s">
        <v>50</v>
      </c>
      <c r="CU19" t="s">
        <v>41</v>
      </c>
    </row>
    <row r="20" spans="1:99" x14ac:dyDescent="0.25">
      <c r="A20">
        <v>20</v>
      </c>
      <c r="B20" t="s">
        <v>246</v>
      </c>
      <c r="C20">
        <v>8747</v>
      </c>
      <c r="D20">
        <f t="shared" si="7"/>
        <v>2169</v>
      </c>
      <c r="E20" t="s">
        <v>41</v>
      </c>
      <c r="F20">
        <v>1</v>
      </c>
      <c r="G20">
        <v>14</v>
      </c>
      <c r="H20">
        <v>3</v>
      </c>
      <c r="I20">
        <v>11</v>
      </c>
      <c r="J20" s="3">
        <f t="shared" si="8"/>
        <v>0.7857142857142857</v>
      </c>
      <c r="K20">
        <v>2</v>
      </c>
      <c r="L20">
        <v>12</v>
      </c>
      <c r="M20">
        <v>1</v>
      </c>
      <c r="N20" t="s">
        <v>66</v>
      </c>
      <c r="O20">
        <v>2016</v>
      </c>
      <c r="P20">
        <v>14</v>
      </c>
      <c r="Q20">
        <v>8</v>
      </c>
      <c r="R20">
        <v>2100</v>
      </c>
      <c r="S20" s="4">
        <f t="shared" si="25"/>
        <v>0.9681881051175657</v>
      </c>
      <c r="T20">
        <v>7</v>
      </c>
      <c r="U20" t="s">
        <v>182</v>
      </c>
      <c r="V20" t="s">
        <v>120</v>
      </c>
      <c r="W20">
        <v>6</v>
      </c>
      <c r="X20">
        <v>16</v>
      </c>
      <c r="Y20" t="s">
        <v>45</v>
      </c>
      <c r="Z20">
        <v>9.9178510000000006</v>
      </c>
      <c r="AA20">
        <v>76.274942999999993</v>
      </c>
      <c r="AB20" t="s">
        <v>183</v>
      </c>
      <c r="AC20">
        <f t="shared" si="0"/>
        <v>630000</v>
      </c>
      <c r="AD20">
        <f>150*R20</f>
        <v>315000</v>
      </c>
      <c r="AE20">
        <v>0</v>
      </c>
      <c r="AF20">
        <v>0</v>
      </c>
      <c r="AG20">
        <v>1250</v>
      </c>
      <c r="AH20" t="s">
        <v>50</v>
      </c>
      <c r="AJ20">
        <v>20</v>
      </c>
      <c r="AK20" t="s">
        <v>184</v>
      </c>
      <c r="AL20" t="s">
        <v>60</v>
      </c>
      <c r="AM20">
        <v>1</v>
      </c>
      <c r="AN20">
        <v>0</v>
      </c>
      <c r="AO20">
        <v>1</v>
      </c>
      <c r="AP20">
        <v>1</v>
      </c>
      <c r="AQ20" t="s">
        <v>185</v>
      </c>
      <c r="AR20">
        <v>100</v>
      </c>
      <c r="AS20" t="s">
        <v>186</v>
      </c>
      <c r="AV20">
        <v>31450</v>
      </c>
      <c r="AW20" t="s">
        <v>91</v>
      </c>
      <c r="AX20">
        <v>31450</v>
      </c>
      <c r="AY20">
        <v>15</v>
      </c>
      <c r="AZ20" t="s">
        <v>63</v>
      </c>
      <c r="BA20">
        <v>1</v>
      </c>
      <c r="BB20">
        <v>0</v>
      </c>
      <c r="BC20">
        <v>0</v>
      </c>
      <c r="BD20">
        <v>0</v>
      </c>
      <c r="BE20" t="s">
        <v>187</v>
      </c>
      <c r="BF20" t="s">
        <v>41</v>
      </c>
      <c r="BG20" t="s">
        <v>50</v>
      </c>
      <c r="BI20">
        <v>12000</v>
      </c>
      <c r="BJ20" t="s">
        <v>188</v>
      </c>
      <c r="BK20" s="1">
        <f t="shared" si="1"/>
        <v>0.9681881051175657</v>
      </c>
      <c r="BL20" s="2">
        <f t="shared" si="9"/>
        <v>55.732934146559884</v>
      </c>
      <c r="BM20" s="6">
        <f t="shared" si="2"/>
        <v>2246.4285714285716</v>
      </c>
      <c r="BN20" s="1">
        <f t="shared" si="26"/>
        <v>69.467971928266081</v>
      </c>
      <c r="BO20" s="1">
        <f>14*20</f>
        <v>280</v>
      </c>
      <c r="BP20" s="1">
        <f t="shared" si="11"/>
        <v>4.4437019712662877</v>
      </c>
      <c r="BQ20" s="1">
        <f t="shared" si="12"/>
        <v>43.21486934869742</v>
      </c>
      <c r="BR20" s="2">
        <v>6</v>
      </c>
      <c r="BS20" s="2">
        <f t="shared" si="13"/>
        <v>100</v>
      </c>
      <c r="BT20" s="2">
        <f t="shared" si="3"/>
        <v>400</v>
      </c>
      <c r="BU20" s="2">
        <f t="shared" si="4"/>
        <v>66.666666666666671</v>
      </c>
      <c r="BV20" s="2">
        <f t="shared" si="14"/>
        <v>4.2105263157894761</v>
      </c>
      <c r="BW20" s="2">
        <v>1</v>
      </c>
      <c r="BX20" s="2">
        <v>0</v>
      </c>
      <c r="BY20" s="2">
        <v>1</v>
      </c>
      <c r="BZ20" s="2">
        <v>0</v>
      </c>
      <c r="CA20" s="2">
        <v>1</v>
      </c>
      <c r="CB20" s="2">
        <v>0</v>
      </c>
      <c r="CC20" s="2">
        <f t="shared" si="15"/>
        <v>50</v>
      </c>
      <c r="CD20" s="2">
        <f t="shared" si="16"/>
        <v>34.60526315789474</v>
      </c>
      <c r="CE20" s="2">
        <v>11</v>
      </c>
      <c r="CF20" s="2">
        <v>12</v>
      </c>
      <c r="CG20" s="2">
        <f t="shared" si="17"/>
        <v>354756</v>
      </c>
      <c r="CH20" s="2">
        <f>11*(0.73*AX20)</f>
        <v>252543.5</v>
      </c>
      <c r="CI20" s="2">
        <f t="shared" si="18"/>
        <v>102212.5</v>
      </c>
      <c r="CJ20" s="2">
        <f t="shared" si="5"/>
        <v>315000</v>
      </c>
      <c r="CK20" s="2">
        <f t="shared" si="19"/>
        <v>669756</v>
      </c>
      <c r="CL20" s="7">
        <f t="shared" si="20"/>
        <v>0.47032053464246681</v>
      </c>
      <c r="CM20">
        <f t="shared" si="21"/>
        <v>39756</v>
      </c>
      <c r="CN20">
        <f t="shared" si="6"/>
        <v>112591</v>
      </c>
      <c r="CO20">
        <v>24</v>
      </c>
      <c r="CP20">
        <f t="shared" si="22"/>
        <v>20.94240837696336</v>
      </c>
      <c r="CQ20">
        <v>5.5</v>
      </c>
      <c r="CR20">
        <f t="shared" si="23"/>
        <v>28.571428571428569</v>
      </c>
      <c r="CS20">
        <f t="shared" si="24"/>
        <v>24.756918474195963</v>
      </c>
      <c r="CT20" t="s">
        <v>50</v>
      </c>
      <c r="CU20" t="s">
        <v>41</v>
      </c>
    </row>
    <row r="21" spans="1:99" x14ac:dyDescent="0.25">
      <c r="CG21" s="2"/>
      <c r="CH21" s="2"/>
      <c r="CI21" s="2"/>
    </row>
  </sheetData>
  <conditionalFormatting sqref="A2:BJ20">
    <cfRule type="containsBlanks" dxfId="0" priority="1">
      <formula>LEN(TRIM(A2))=0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Prakash</dc:creator>
  <cp:lastModifiedBy>Roshan Prakash</cp:lastModifiedBy>
  <dcterms:created xsi:type="dcterms:W3CDTF">2026-03-04T13:31:54Z</dcterms:created>
  <dcterms:modified xsi:type="dcterms:W3CDTF">2026-03-14T00:16:43Z</dcterms:modified>
</cp:coreProperties>
</file>